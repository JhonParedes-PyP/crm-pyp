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JHON\Downloads\"/>
    </mc:Choice>
  </mc:AlternateContent>
  <xr:revisionPtr revIDLastSave="0" documentId="13_ncr:1_{6D239F78-607C-43AE-A002-CC1D14C44C8F}" xr6:coauthVersionLast="47" xr6:coauthVersionMax="47" xr10:uidLastSave="{00000000-0000-0000-0000-000000000000}"/>
  <bookViews>
    <workbookView xWindow="-120" yWindow="-120" windowWidth="20730" windowHeight="11160" activeTab="1" xr2:uid="{AB0834D3-0D79-43FC-B1A3-BEAEAB54DBA2}"/>
  </bookViews>
  <sheets>
    <sheet name="Hoja3" sheetId="3" r:id="rId1"/>
    <sheet name="Hoja1" sheetId="1" r:id="rId2"/>
  </sheets>
  <externalReferences>
    <externalReference r:id="rId3"/>
  </externalReferences>
  <definedNames>
    <definedName name="_xlnm._FilterDatabase" localSheetId="1" hidden="1">Hoja1!$A$2:$AH$338</definedName>
  </definedNames>
  <calcPr calcId="181029"/>
  <pivotCaches>
    <pivotCache cacheId="0" r:id="rId4"/>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00" i="1" l="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295" i="1"/>
  <c r="G296" i="1"/>
  <c r="G297" i="1"/>
  <c r="G298" i="1"/>
  <c r="G299"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3" i="1"/>
</calcChain>
</file>

<file path=xl/sharedStrings.xml><?xml version="1.0" encoding="utf-8"?>
<sst xmlns="http://schemas.openxmlformats.org/spreadsheetml/2006/main" count="8353" uniqueCount="2553">
  <si>
    <t>FECHA DE INGRESO A JUDICIAL</t>
  </si>
  <si>
    <t>PAGARE</t>
  </si>
  <si>
    <t>CONDICIÓN: RECUPERABLE / IRRECUPERABLE</t>
  </si>
  <si>
    <t>PROCESO JUDICIAL</t>
  </si>
  <si>
    <t>MEDIDA CAUTELAR</t>
  </si>
  <si>
    <t>DEMANDA PRINCIPAL</t>
  </si>
  <si>
    <t>BIENES SOBRE LOS QUE RECAE EL PROCESO</t>
  </si>
  <si>
    <t>GESTIÓN DE VISITAS</t>
  </si>
  <si>
    <t>OBSERVACION U OPINION</t>
  </si>
  <si>
    <t>AGENCIA</t>
  </si>
  <si>
    <t>SUB JEFATURA</t>
  </si>
  <si>
    <t>EJECUTIVO LEGAL</t>
  </si>
  <si>
    <t>ABOGADO EXTERNO/ EMPRESA RECUPERADORA</t>
  </si>
  <si>
    <t>CLIENTE</t>
  </si>
  <si>
    <t>CUENTA</t>
  </si>
  <si>
    <t>SALDO CAPITAL</t>
  </si>
  <si>
    <t>MONEDA</t>
  </si>
  <si>
    <t>MONTO DEMANDADO</t>
  </si>
  <si>
    <t>DISTRITO JUDICIAL</t>
  </si>
  <si>
    <t>SEDE JUDICIAL / JUZGADO</t>
  </si>
  <si>
    <t>TIPO MEDIDA CAUTELAR</t>
  </si>
  <si>
    <t>FECHA DE PRESENTACION DE LA CAUTELAR</t>
  </si>
  <si>
    <t>N° DE EXPEDIENTE CAUTELAR</t>
  </si>
  <si>
    <t>CODIGO CAUTELAR</t>
  </si>
  <si>
    <t>ESTADO DE MEDIDA CAUTELAR</t>
  </si>
  <si>
    <t>PRETENSION</t>
  </si>
  <si>
    <t>FECHA PRESENTACION DE DEMANDA PRINCIPAL</t>
  </si>
  <si>
    <t>NRO. DE EXPEDIENTE PRINCIPAL</t>
  </si>
  <si>
    <t>ESTADO DEL PROCESO EXP. PRINCIPAL</t>
  </si>
  <si>
    <t>DETALLE DEL BIEN</t>
  </si>
  <si>
    <t>SEGUIMIENTO DEL CUADERNO PRINCIPAL</t>
  </si>
  <si>
    <t>FECHA</t>
  </si>
  <si>
    <t>DOMICILIO UBICABLE: SI/NO</t>
  </si>
  <si>
    <t>RESULTADO</t>
  </si>
  <si>
    <t>PROBABILIDAD DE RECUPERACION</t>
  </si>
  <si>
    <t>CLASIFICACIÓN</t>
  </si>
  <si>
    <t>AG. CHORRILLOS</t>
  </si>
  <si>
    <t>NIÑO DE GUZMAN/HUAMANI,ALEXANDER</t>
  </si>
  <si>
    <t>HINOSTROZA/ILDEFONSO, DIEGO ANDREE</t>
  </si>
  <si>
    <t>LORENA PRADA GONZALES</t>
  </si>
  <si>
    <t>CASTAÑEDA CAMONES, HEBERT RONY</t>
  </si>
  <si>
    <t>107099101002017780</t>
  </si>
  <si>
    <t>SOLES</t>
  </si>
  <si>
    <t>RECUPERABLE</t>
  </si>
  <si>
    <t>29,805.07</t>
  </si>
  <si>
    <t>LIMA</t>
  </si>
  <si>
    <t>2 JUZGADO DE PAZ LETRADO BARRANCO - MIRAFLORES</t>
  </si>
  <si>
    <t>EMBARGO EN FORMA DE INSCRIPCION</t>
  </si>
  <si>
    <t>01980-2025-3-1866-JP-CI-02</t>
  </si>
  <si>
    <t>ADMISION E INCRIPCION EN LA SUNARP</t>
  </si>
  <si>
    <t>Obligación de dar suma de dinero</t>
  </si>
  <si>
    <t>01980-2025-0-1809-JP-CI-02</t>
  </si>
  <si>
    <t>SENTENCIA O AUTO FINAL</t>
  </si>
  <si>
    <t>TOTALIDAD DEL INMUEBLE QUE LE CORRESPONDE AL TITULAR CASTAÑEDA CAMONES HEBERT RONY INMUEBLE UBICADO EN UNIDAD INMOBILIARIA D PRIMER PISO LOTE 23 DE LA MANZANA B URB. LOS CEDROS DE VILLA 3RA ETAPA 5TO SECTOR CHORRILLOS</t>
  </si>
  <si>
    <t>02/06/2026 ESCRITO; SOLICITO PERITOS</t>
  </si>
  <si>
    <t>TOTALIDAD DEL INMUEBLE</t>
  </si>
  <si>
    <t>SI</t>
  </si>
  <si>
    <t>SE NOTIFICA A CLIENTE EN SU VIVIENDA CASA 3 PISOS COLOR AZUL</t>
  </si>
  <si>
    <t>ALTO</t>
  </si>
  <si>
    <t>SINVOLUNTAD DE PAGO/ SIN CAPACIDAD DE PAGO</t>
  </si>
  <si>
    <t>SIN NEGOCIACIÓN</t>
  </si>
  <si>
    <t>CRUZ JIMENEZ, LUIS SEGUNDO</t>
  </si>
  <si>
    <t>107099101001710173</t>
  </si>
  <si>
    <t>82,841.83</t>
  </si>
  <si>
    <t>9° JUZGADO CIVIL COMERCIAL LIMA</t>
  </si>
  <si>
    <t>16946-2025-24-1828-JR-CO-09</t>
  </si>
  <si>
    <t>PRESENTADA</t>
  </si>
  <si>
    <t>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t>
  </si>
  <si>
    <t>SE ENTREGA REQUERIMIENTO EN DOMICILIO</t>
  </si>
  <si>
    <t>MEDIO</t>
  </si>
  <si>
    <t>ERAZO BENAVIDES, DIANA ELIZABETH</t>
  </si>
  <si>
    <t>107099101000880265</t>
  </si>
  <si>
    <t>IRRECUPERABLE</t>
  </si>
  <si>
    <t>34,997.33</t>
  </si>
  <si>
    <t>LIMA SUR</t>
  </si>
  <si>
    <t>JUZGADO DE PAZ LETRADO DE VILLA EL SALVADOR</t>
  </si>
  <si>
    <t>00366-2023-81-3004-JP-CI-01</t>
  </si>
  <si>
    <t>00366-2023-0-3004-JP-CI-01</t>
  </si>
  <si>
    <t>33% DE ACCIONES Y DERECHOS DEL INMUEBLE INSCRITO EN LA PRESENTE PARTIDA REGISTRAL CÓD DE PREDIO NRO. P03309811, ASENTAMIENTO HUMANO TUPAC AMARU DE VILLA MZ. E6 LOTE 20, UNIDAD INMOBILIARIA N° 2, DISTR. CHORRILLOS, QUE LE CORRESPONDE A LA DEMANDADA DIANA ELIZABETH ERAZO BENAVIDES.</t>
  </si>
  <si>
    <t>27/01/2025RES 06: CONSENTIMIENTO Y REQUERIMIENTO</t>
  </si>
  <si>
    <t>ACCIONES Y DERECHOS</t>
  </si>
  <si>
    <t>SE NOTIFICA A CLIENTE EN SU VIVIENDA CASA 2 PISOS COLOR BLANCO</t>
  </si>
  <si>
    <t>BAJO</t>
  </si>
  <si>
    <t>ESTACIO GIRON, ROSA MARIBEL</t>
  </si>
  <si>
    <t>107099101001921420</t>
  </si>
  <si>
    <t>17,321,53</t>
  </si>
  <si>
    <t>04794-2024-28-1866-JP-CI-02</t>
  </si>
  <si>
    <t>04794-2024-0-1809-JP-CI-02</t>
  </si>
  <si>
    <t>ADMISION</t>
  </si>
  <si>
    <t>LAS ACCIONES Y DERECHOS DEL FIADOR ESTACIO SANCHEZ LUIS RENEE UBICADO EN AA.HH MUNICIPAL SAN GENARO MZ I1 LT 10 CHORRILLOS, CHORRILLOS, LIMA, LIMA, P: P03087301</t>
  </si>
  <si>
    <t>SE NOTIFICA A CLIENTE EL RECORDATORIO DE SU PAGO PUNTUAL DE SU CONVENIO.</t>
  </si>
  <si>
    <t>CON VOLUNTAD DE PAGO/ CON CAPACIDAD</t>
  </si>
  <si>
    <t>FLORES MARTINEZ, LUIS ALBERTO</t>
  </si>
  <si>
    <t>107099101001915847</t>
  </si>
  <si>
    <t>27,410,73</t>
  </si>
  <si>
    <t>4º JUZGADO DE PAZ LETRADO LINCE- SAN ISIDRO</t>
  </si>
  <si>
    <t>NINGUNO</t>
  </si>
  <si>
    <t>00447-2025-0-1820-JP-CI-04</t>
  </si>
  <si>
    <t>12/06/2025RES 02: AUTO FINAL</t>
  </si>
  <si>
    <t>CON NEGOCIACIÓN</t>
  </si>
  <si>
    <t>HUAMAN QUISPE, MOISES</t>
  </si>
  <si>
    <t>107099101000734231</t>
  </si>
  <si>
    <t>73,033.31</t>
  </si>
  <si>
    <t>JUZ CIVIL CHORRILLOS</t>
  </si>
  <si>
    <t>00561-2021-0-3002-JR-CI-01</t>
  </si>
  <si>
    <t>30/03/2022RESOLUCION N° 03 DECLARA CONSENTIDA AUTO FINAL</t>
  </si>
  <si>
    <t>K &amp; P MAQUINARIAS S.A.C</t>
  </si>
  <si>
    <t>107099101001382366</t>
  </si>
  <si>
    <t>64,500.33</t>
  </si>
  <si>
    <t>JUZGADO ESPECIALIZADO CIVIL DE SAN JUAN DE MIRAFLORES</t>
  </si>
  <si>
    <t>00498-2023-49-3002-JR-CI-01</t>
  </si>
  <si>
    <t>00498-2023-0-3002-JR-CI-01</t>
  </si>
  <si>
    <t>TOTALIDAD DEL BIEN DE PROPIEDAD DE LOS AVALES SILVA DAVILA CELINDA Y VASQUEZ CUBAS ENRIQUE UBICADO EN PLAN INTEGRAL PAMPAS DE SAN JUAN MZ B2 LOTE 10 PUEBLO JOVEN BUENOS AIRES DISTRITO DE SAN JUAN DE MIRAFLORES INSCRITO EN LA P.E. P03129378 ASIENTO 2023-03028411</t>
  </si>
  <si>
    <t>13/10/2025RES 04: APERSONADOS Y REQUIERASE PAGO</t>
  </si>
  <si>
    <t>SE NOTIFICA A CLIENTE EN SU VIVIENDA</t>
  </si>
  <si>
    <t>LOPEZ MEZA, JUAN CARLOS</t>
  </si>
  <si>
    <t>107099101002048607</t>
  </si>
  <si>
    <t>19,936.63</t>
  </si>
  <si>
    <t>3° JUZGADO DE PAZ LETRADO BARRANCO Y MIRAFLORES</t>
  </si>
  <si>
    <t>01338-2025-62-1866-JP-CI-03</t>
  </si>
  <si>
    <t>01338-2025-0-1809-JP-CI-03</t>
  </si>
  <si>
    <t>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t>
  </si>
  <si>
    <t>TOTALIDAD DEL MUEBLE</t>
  </si>
  <si>
    <t>NOLASCO ESTELA, LUZBET</t>
  </si>
  <si>
    <t>107099101002118170</t>
  </si>
  <si>
    <t>72,499.63</t>
  </si>
  <si>
    <t>4°JUZGADO CIVIL-COMERCIAL DE LIMA</t>
  </si>
  <si>
    <t>17822-2025-92-1828-JR-CO-04</t>
  </si>
  <si>
    <t>17822-2025-0-1817-JR-CO-04</t>
  </si>
  <si>
    <t>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t>
  </si>
  <si>
    <t>22/06/2026 RES 05: CONSENTIDO EL AUTO FINAL</t>
  </si>
  <si>
    <t>ORE RIOS DE MONTALVO, BENEDICTA</t>
  </si>
  <si>
    <t>107099101002089739</t>
  </si>
  <si>
    <t>17,126.36</t>
  </si>
  <si>
    <t>03906-2025-0-1809-JP-CI-02</t>
  </si>
  <si>
    <t>RETENCION DE CUENTAS</t>
  </si>
  <si>
    <t>01/06/2026 RES 1: ADMITIDA FORMALIZACION</t>
  </si>
  <si>
    <t>CUENTA DE AHORRO</t>
  </si>
  <si>
    <t>PURIZACA FARFAN, JOSE FERNANDO</t>
  </si>
  <si>
    <t>107099101001476900</t>
  </si>
  <si>
    <t>11,289,98</t>
  </si>
  <si>
    <t>JUZGADO DE PAZ LETRADO CIVL DE SAN JUAN DE MIRAFLORES</t>
  </si>
  <si>
    <t>00419-2024-74-3002-JP-CI-02</t>
  </si>
  <si>
    <t>00419-2024-0-3002-JP-CI-02</t>
  </si>
  <si>
    <t>LA TOTALIDAD DEL INMUEBLE (1 RANGO) QUE LE CORRESPONDEN A LOS FIADORES FARFAN CABRERA SANTOS Y PURIZACA VELASQUEZ ELMER, P: P03199965, UBICADO EN PUEBLO JOVEN DE VILLA PUETA JOSE GALVEZ - PARCELA B MZ 5A LT. 15 PARCELA VILLA POETA II, VILLA MARIA DEL TRIUNFO, LIMA</t>
  </si>
  <si>
    <t>10/06/2026 RES 05: LOS PERITOS ACEPTAN EL CARGO</t>
  </si>
  <si>
    <t>QUISPE APAZA, JUSTINA OLGA</t>
  </si>
  <si>
    <t>107099101001977978</t>
  </si>
  <si>
    <t>26,506,37</t>
  </si>
  <si>
    <t>05217-2024-54-1866-JP-CI-03</t>
  </si>
  <si>
    <t>05217-2024-0-1809-JP-CI-03</t>
  </si>
  <si>
    <t>ACCIONES Y DERECHOS QUE LE CORRESPONDE A QUISPE APAZA JUSTINA OLGA, P: P03180728 / AA.HH LOS JARDINES DE SAN JUAN MZ F LT 6, SAN JUAN DE MIRAFLORES, LIMA</t>
  </si>
  <si>
    <t>08/09/2025RES. 04 IMPROCEDENTE LA SUSPENCION DE L PROCESO</t>
  </si>
  <si>
    <t>QUISPE CUSI, ELENA CHARO</t>
  </si>
  <si>
    <t>107099101001631507</t>
  </si>
  <si>
    <t>29,085.41</t>
  </si>
  <si>
    <t>JUZGADO DE PAZ LETRADO CHORRILLOS</t>
  </si>
  <si>
    <t>01019-2023-49-3005-JP-CI-01</t>
  </si>
  <si>
    <t>01019-2023-0-3005-JP-CI-01</t>
  </si>
  <si>
    <t>TOTALIDAD DEL INMUEBLE (1 RANGO) DE PROPIEDAD DE LA SOCIEDAD CONYUGAL UBICADO EN AAHH BUENOS AIRES DE VILLA MZ 30A LOTE 1 SECTOR BUENOS AIRES DE VILLA SECTOR A, DISTRITO DE SURCO PE P03148751</t>
  </si>
  <si>
    <t>18/06/2026 ESCRITO: INICIO DE EJECUCION FORZADA</t>
  </si>
  <si>
    <t>SE NOTIFICA A CLIENTE EN SU VIVIENDA CASA 3 PISOS COLOR CEMENTO SIN PINTAR</t>
  </si>
  <si>
    <t>SANCHEZ CHUQUIMANGO, LIZ EUMELIA</t>
  </si>
  <si>
    <t>107099101001174672</t>
  </si>
  <si>
    <t>38,391.76</t>
  </si>
  <si>
    <t>00034-2023-66-3005-JP-CO-01</t>
  </si>
  <si>
    <t>00034-2023-0-3005-JP-CO-01</t>
  </si>
  <si>
    <t>TOTALIDAD DEL INMUEBLE (1 RANGO) DE PROPIEDAD DE LA TITULAR UBICADO EN UNIDAD INMOBILIARIA F, AZOTEA INMUEBLE CONSTITUIDO SOBRE EL LOTE N°27 DE LAMANZANA E-12, CON FRENTE A LA CALLE 32 URB. LOS CEDROS DE VILLA TERCERA ETAPA DISTRITO DE CHORRILLOS PE 13176636</t>
  </si>
  <si>
    <t>16/04/2025RES 06: SUSPENCION POR ACUERDO DE PAGO</t>
  </si>
  <si>
    <t>SANCHO GONZALES, JOSE ANTONIO</t>
  </si>
  <si>
    <t>107099101001545470</t>
  </si>
  <si>
    <t>16,469,96</t>
  </si>
  <si>
    <t>00753-2024-0-3002-JP-CI-02</t>
  </si>
  <si>
    <t>02/06/2026 ESCRITO: CONSENTIMIENTO Y REQUERIMIENTO</t>
  </si>
  <si>
    <t>SOCUALAYA VICENTE, DENIS MARLON</t>
  </si>
  <si>
    <t>107099101001567860</t>
  </si>
  <si>
    <t>23,349.85</t>
  </si>
  <si>
    <t>00035-2023-93-3005-JP-CO-01</t>
  </si>
  <si>
    <t>00035-2023-0-3005-JP-CO-01</t>
  </si>
  <si>
    <t>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t>
  </si>
  <si>
    <t>19/06/2026 REA 05: CONSENTIDO EL AUTO FINAL</t>
  </si>
  <si>
    <t>SOLIER GUTIERREZ, ADIMER</t>
  </si>
  <si>
    <t>107099101001186714</t>
  </si>
  <si>
    <t>15,198.45</t>
  </si>
  <si>
    <t>00485-2023-12-3005-JP-CI-01</t>
  </si>
  <si>
    <t>00485-2023-0-3005-JP-CI-01</t>
  </si>
  <si>
    <t>TOTALIDAD DEL INMUEBLE (1 RANGO) DE PROPIEDAD DEL FUTURO EJECUTADO ADIMER SOLIER GUTIERREZ INSCRITO EN LA PRESENTE PARTIDA CÓD DE PREDIO NRO. P03156989, ASENTAMIENTO HUMANO SAN GENARO II MZ. 2 LOTE 9, DISTR. CHORRILLOS</t>
  </si>
  <si>
    <t>28/03/2025RES 06: SUSPENCION POR ACUERDO DE PAGO</t>
  </si>
  <si>
    <t>YANCCE CARHUAPOMA, MONICA SOFIA</t>
  </si>
  <si>
    <t>107099101001990072</t>
  </si>
  <si>
    <t>55,056.88</t>
  </si>
  <si>
    <t>5° JUZGADO CIVIL-COMERCIAL DE LIMA</t>
  </si>
  <si>
    <t>14174-2025-95-1828-JR-CO-05</t>
  </si>
  <si>
    <t>14174-2025-0-1817-JR-CO-05</t>
  </si>
  <si>
    <t>TOTALIDAD QUE LE CORRESPONDEN A LA SOCIEDAD CONYUGAL DE LOS TITULARES YANCCE CARHUAPOMA MONICA SOFIA Y HUAMANI CURITUMAY VICTOR ULPIANO, DEL BIEN INMUEBLE UBICADO EN PUEBLO JOVEN 1RO DE MAYO MZ H LOTE 9, CHORRILLOS, LIMA, LIMA / PARTIDA ELECTRÓNICA N°P03093345</t>
  </si>
  <si>
    <t>27/05/2026 ESCRITO: ADJUNTO ARANCEL</t>
  </si>
  <si>
    <t>AG. LINCE</t>
  </si>
  <si>
    <t>MOROTE/CONDORPUSA,MISHELL</t>
  </si>
  <si>
    <t>ALCALDE HUAMAN, ALINDOR ARTURO</t>
  </si>
  <si>
    <t>107180101000069013</t>
  </si>
  <si>
    <t>19,897.72</t>
  </si>
  <si>
    <t>3 JUZGADO DE PAZ LETRADO LINCE SAN ISIDRO</t>
  </si>
  <si>
    <t>00229-2024-6-1820-JP-CI-03</t>
  </si>
  <si>
    <t>00229-2024-0-1802-JP-CI-03</t>
  </si>
  <si>
    <t>ACCIONES Y DERECHOS DE BIEN INMUEBLE QUE LE CORRESPONDEN AL TITULAR UBICADO EN URB, FUNDO CHORRILLOS MZ A1 LT 1 DPTO T.13 EDF.PIS./REF, CHORRILLOS EN LA PARTIDA P03260006</t>
  </si>
  <si>
    <t>05/05/2026 RES 03: CONSENTIDA EL AUTO FINAL Y REQUIERASE EL PAGO</t>
  </si>
  <si>
    <t>SE NOTIFICA A CLIENTE EN SU VIVIENDA 1 PISO COLOR NEGRO</t>
  </si>
  <si>
    <t>ALLCA BARRA, MASEDONIO</t>
  </si>
  <si>
    <t>107180101000016780</t>
  </si>
  <si>
    <t>33,563.65</t>
  </si>
  <si>
    <t>01038-2022-0-3004-JP-CI-01</t>
  </si>
  <si>
    <t>26/09/2024REA 05: CONSENTIDO EL AUTO FINAL</t>
  </si>
  <si>
    <t>SE NOTIFICA A CLIENTE EN SU VIVIENDA EN VILLA EL SALVADOR</t>
  </si>
  <si>
    <t>ARREDONDO BUSTILLOS, NAYELI DAYANA</t>
  </si>
  <si>
    <t>107180101000648141</t>
  </si>
  <si>
    <t>24,505.82</t>
  </si>
  <si>
    <t>01529-2025-0-1820-JP-CI-03</t>
  </si>
  <si>
    <t>19/05/2026 RES 03: CONSENTIDO EL AUTO FINAL Y REQUIERASE PAGO</t>
  </si>
  <si>
    <t>ARROYO DURAND, RAFAEL</t>
  </si>
  <si>
    <t>107180101000523496</t>
  </si>
  <si>
    <t>19,870.14</t>
  </si>
  <si>
    <t>2 JUZGADO DE PAZ LETRADO LINCE SAN ISIDRO</t>
  </si>
  <si>
    <t>01532-2025-0-1820-JP-CI-02</t>
  </si>
  <si>
    <t>16/06/2026 RES 04: CONSENTIDO EL AUTO FINAL</t>
  </si>
  <si>
    <t>BOLIVAR BAUTISTA, EDGAR FLORENCIO</t>
  </si>
  <si>
    <t>107024101005956238</t>
  </si>
  <si>
    <t>26,278.76</t>
  </si>
  <si>
    <t>01527-2025-0-1820-JP-CI-04</t>
  </si>
  <si>
    <t>05/06/2026 ESCRITO: ABSUELVO TRASLADO</t>
  </si>
  <si>
    <t>CETRONICS SOLUTIONS E.I.R.L</t>
  </si>
  <si>
    <t>107180101000044541</t>
  </si>
  <si>
    <t>30,927,08</t>
  </si>
  <si>
    <t>00881-2024-0-1820-JP-CI-02</t>
  </si>
  <si>
    <t>03/03/2026 RES 09: AUTO FINAL</t>
  </si>
  <si>
    <t>COBEÑAS SERNAQUE, JULIO CESAR</t>
  </si>
  <si>
    <t>107180101000648848</t>
  </si>
  <si>
    <t>54,821.88</t>
  </si>
  <si>
    <t>11° JUZGADO CIVIL-COMERCIAL</t>
  </si>
  <si>
    <t>21363-2025-0-1828-JR-CO-11</t>
  </si>
  <si>
    <t>01/07/2026 RES 05: AUTO FINAL</t>
  </si>
  <si>
    <t>CORPORACION CIARA EIRL</t>
  </si>
  <si>
    <t>107146101000299745</t>
  </si>
  <si>
    <t>62,679.20</t>
  </si>
  <si>
    <t>3°JUZGADO CIVIL-COMERCIAL DE LIMA</t>
  </si>
  <si>
    <t>25110-2022-39-1817-JR-CO-03</t>
  </si>
  <si>
    <t>25110-2022-0-1817-JR-CO-03</t>
  </si>
  <si>
    <t>EJECUCION / DESIGNACION DE PERITOS</t>
  </si>
  <si>
    <t>(CON HIPOTECA PREVIA DE SCOTIABANK) TOTALIDAD DEL BIEN INMUEBLE DEL FIADOR SOLIDARIO JULIO LAVADO GOMEZ ESTACIONAMIENTO 169 PRIMER PISO JIRON AGUARICO NUMERO 169 URB. CHACRA COLORADA DISTRITO DE BREÑA, LIMA PE 12844299. SEGUNDO RANGO</t>
  </si>
  <si>
    <t>12/05/2026 ESCRITO: LO QUE SE INDICA</t>
  </si>
  <si>
    <t>EN SEGUNDO RANGO A MÁS</t>
  </si>
  <si>
    <t>SE NOTIFICA A CLIENTE EN SU VIVIENDA EN CENTRO COMERCIAL MESA REDONDA</t>
  </si>
  <si>
    <t>FERNANDEZ GARCIA, MARIA ESTHER</t>
  </si>
  <si>
    <t>107180101000560845</t>
  </si>
  <si>
    <t>58,461.09</t>
  </si>
  <si>
    <t>21368-2025-0-1828-JR-CO-05</t>
  </si>
  <si>
    <t>26/05/2026 ESCRITO: AUTO FINAL</t>
  </si>
  <si>
    <t>GALVEZ DIAZ, ISABEL CRISTINA</t>
  </si>
  <si>
    <t>107180101000393083</t>
  </si>
  <si>
    <t>43,636.56</t>
  </si>
  <si>
    <t>03789-2025-11-1866-JP-CI-03</t>
  </si>
  <si>
    <t>03789-2025-0-1809-JP-CI-03</t>
  </si>
  <si>
    <t>TOTALIDAD DEL BIEN QUE LE CORRESPONDEN AL TITULAR GALVEZ DIAZ ISABEL CRISTINA, DEL BIEN INMUEBLE UBICADO EN LOTE 10 MANZANA V FRENTE A LA CALLE K, URBANIZACION SAN CARLOS, SAN JUAN DE LURIGANCHO, INSCRITO EN LA PARTIDA ELECTRONICA Nº 15854364 DEL REGISTRO DE PROPIEDAD INMUEBLE.</t>
  </si>
  <si>
    <t>16/02/2026 ESCRITO: SOLICITO AUTO FINAL</t>
  </si>
  <si>
    <t>HUARCAYA MORALES, KATHERINE LIZBETH</t>
  </si>
  <si>
    <t>107180101000600961</t>
  </si>
  <si>
    <t>23,221.55</t>
  </si>
  <si>
    <t>01528-2025-0-1820-JP-CI-02</t>
  </si>
  <si>
    <t>09/06/2026 RES 05: SOBRECARTESE A LAS PARTES</t>
  </si>
  <si>
    <t>INCHAUSTEGUI NUÑEZ, JEAN FRANCOIS</t>
  </si>
  <si>
    <t>107180101000322405</t>
  </si>
  <si>
    <t>41,589,99</t>
  </si>
  <si>
    <t>05294-2024-52-1866-JP-CI-02</t>
  </si>
  <si>
    <t>05294-2024-0-1809-JP-CI-02</t>
  </si>
  <si>
    <t>ACCIONES Y DERECHOS SOBRE VEHICULO DE PLACA D4C503</t>
  </si>
  <si>
    <t>11/06/2026 RES 04: SE SUSPENDE EL PROCESO POR CONVENIO</t>
  </si>
  <si>
    <t>JALIRE MAMANI, CRISTIAN FREDDY</t>
  </si>
  <si>
    <t>107180101000545515</t>
  </si>
  <si>
    <t>53,607.97</t>
  </si>
  <si>
    <t>17°JUZGADO CIVIL-COMERCIAL DE LIMA</t>
  </si>
  <si>
    <t>21364-2025-0-1828-JR-CO-17</t>
  </si>
  <si>
    <t>25/04/2026 RES 08: SE NOTIFICARA EN CASILLA FISICA</t>
  </si>
  <si>
    <t>LINARES CHAVEZ, LESLY YUDITH</t>
  </si>
  <si>
    <t>107146101000826501</t>
  </si>
  <si>
    <t>23,603,76</t>
  </si>
  <si>
    <t>05129-2024-78-1866-JP-CI-03</t>
  </si>
  <si>
    <t>05129-2024-0-1809-JP-CI-03</t>
  </si>
  <si>
    <t>TERCER RANGO ( 1 RANGO BCP, 2 RANGO MI BANCO)DE LA TOTALIDAD DEL BIEN DEL FIADOR LINARES CHAVEZ ALICIA, UBICADO EN PUEBLO JOVEN SAN HILARION MZ H LT 29, SAN JUAN DE LURIGANCHO, LIMA P: P02055808</t>
  </si>
  <si>
    <t>26/05/2026 ESCRITO: CONSENTIMIENTO Y REQUERIMIENTO</t>
  </si>
  <si>
    <t>SE NOTIFICA A CLIENTE EN SU VIVIENDA PORTON PLOMO</t>
  </si>
  <si>
    <t>LINARES CHAVEZ, LUZBETH</t>
  </si>
  <si>
    <t>107180101000436172</t>
  </si>
  <si>
    <t>23,014,43</t>
  </si>
  <si>
    <t>04831-2024-85-1866-JP-CI-02</t>
  </si>
  <si>
    <t>04831-2024-0-1809-JP-CI-02</t>
  </si>
  <si>
    <t>TOTALIDAD DEL FIADOR (1 RANGO) LINARES CHAVEZ ALICIA UBICADO EN PUEBLO JOVEN SAN HILARION MZ H LT 29 SAN JUAN DE LURIGANCHO, LIMA, LIMA(2 RANGO) P: P02055808</t>
  </si>
  <si>
    <t>26/05/2026 ESCRITO: SOLICITA SE RETOME LA EJECUCIÓN FORZADA Y SE REANUDE TASACIÓN DEL BIEN INMUEBLE</t>
  </si>
  <si>
    <t>MENA RAMIREZ, MARCO ANTONIO</t>
  </si>
  <si>
    <t>107146101000306251</t>
  </si>
  <si>
    <t>41,459.59</t>
  </si>
  <si>
    <t>4° JUZGADO DE PAZ LETRADO LA VICTORIA Y SAN LUIS</t>
  </si>
  <si>
    <t>00753-2023-46-1814-JP-CI-04</t>
  </si>
  <si>
    <t>CC: 359503</t>
  </si>
  <si>
    <t>00753-2023-0-1814-JP-CI-04</t>
  </si>
  <si>
    <t>TOTALIDAD DEL INMUEBLE UBICADO EN PASAJE EMMA DETTMANN DE GUTIERREZ MZ B LOTE 7 URB HELY CHAVEZ LA PERLA CALLAO P.E. 70058194 SEGUNDO RANGO HIPOTECA A FAVOR DE BBVA POR US$82,000</t>
  </si>
  <si>
    <t>01/12/2025RES 03: CONSENTIDO EL AUTO FINAL</t>
  </si>
  <si>
    <t>MINIMARKET EL MERCADER S.A.C</t>
  </si>
  <si>
    <t>107180101000256788</t>
  </si>
  <si>
    <t>21,960,55</t>
  </si>
  <si>
    <t>05130-2024-72-1866-JP-CI-03</t>
  </si>
  <si>
    <t>05130-2024-0-1809-JP-CI-03</t>
  </si>
  <si>
    <t>LA TOTALIDAD DEL VEHICULO QUE LE CORRESPONDE AL FIADOR RIOS CARRASCO DIOMAR SANTOS DE PLACA: ADW003, MARCA: BMW, MODELO X4 AÑO 2015, COLOR METALIZADO</t>
  </si>
  <si>
    <t>15/05/2026 RES 09 PONGANSE AUTOS A DESPACHO</t>
  </si>
  <si>
    <t>107180101000363808</t>
  </si>
  <si>
    <t>10/04/2026 ESCRITO: ABSUELVO CONTRADICCION</t>
  </si>
  <si>
    <t>MORALES INOÑAN, ISABEL GUADALUPE</t>
  </si>
  <si>
    <t>107180101000234281</t>
  </si>
  <si>
    <t>39,040.32</t>
  </si>
  <si>
    <t>01835-2023-20-1802-JP-CI-03</t>
  </si>
  <si>
    <t>CC: 910209</t>
  </si>
  <si>
    <t>01835-2023-0-1802-JP-CI-03</t>
  </si>
  <si>
    <t>ACCIONES Y DERECHOS QUE LE CORRESPONDE AL FIADOR WILLIAM ARMANDO INOÑAN REYES SOBRE EL PREDIO UBICADO EN PUEBLO TRADICIONAL JAYANCA MZ. 1E LOTE 30 DISTRITO DE JAYANCA, LAMBAYEQUE, CHICLAYO PE P10145505</t>
  </si>
  <si>
    <t>05/08/2025RES 17: AUTO FINAL</t>
  </si>
  <si>
    <t>NARVAJA AQUINO, YULY MADAI</t>
  </si>
  <si>
    <t>107180101000724194</t>
  </si>
  <si>
    <t>TESTIMONIO</t>
  </si>
  <si>
    <t>85215.05</t>
  </si>
  <si>
    <t>13°JUZGADO CIVIL-COMERCIAL DE LIMA</t>
  </si>
  <si>
    <t>Ejecución de garantía</t>
  </si>
  <si>
    <t>28843-2025-0-1828-JR-CO-09</t>
  </si>
  <si>
    <t>LA TOTALIDAD DEL BIEN UBICADO EN ASENTAMIENTO HUMANO PERUANOS UNIDOS MZ A LOTE 7 PARCELA C SECTOR EL AMAUTA DISTRITO DE SAN JUAN DE LURIGANCHO PROVINCIA Y DEPARTAMENTO DE LIMA INSCRITO EN LA PARTIDA ELECTRONICA P02164889</t>
  </si>
  <si>
    <t>28/05/2026 RES 02: TENGASE ABSUELTA LA CONTRADICCION</t>
  </si>
  <si>
    <t>107024101006185988</t>
  </si>
  <si>
    <t>07/04/2026 ESCRITO: ABSUELVO CONTRADICCION</t>
  </si>
  <si>
    <t>PACHAS CUADROS, JUAN CARLOS</t>
  </si>
  <si>
    <t>107180101000325880</t>
  </si>
  <si>
    <t>18,653,15</t>
  </si>
  <si>
    <t>00159-2025-81-1866-JP-CI-02</t>
  </si>
  <si>
    <t>00159-2025-0-1809-JP-CI-02</t>
  </si>
  <si>
    <t>TOTALIDAD DEL INMUEBLE (1 RANGO) QUE LE CORRESPONDE AL TITULAR, P: 70095105, UBICADO EN DEP 401- 4 PISO Y TENDAL 5 PISO, CALLE LAS GAVIOTAS 396, BELLAVISTA, CALLAO</t>
  </si>
  <si>
    <t>10/06/2026 RES 03: CONSENTIDA EL AUTO FINAL</t>
  </si>
  <si>
    <t>RIOS CARRASCO, NATALIE VALERIA</t>
  </si>
  <si>
    <t>107180101000634051</t>
  </si>
  <si>
    <t>52,362,38</t>
  </si>
  <si>
    <t>6 JUZGADO COMERCIAL DE LIMA</t>
  </si>
  <si>
    <t>34912-2024-77-1828-JR-CO-06</t>
  </si>
  <si>
    <t>34912-2024-0-1817-JR-CO-06</t>
  </si>
  <si>
    <t>ACCIONES Y DERECHOS QUE LE CORRESPONDE A RIOS ONTON SANTOS, / P: P01268902 / ASOC. PRO VIVIENDA DE LOS TRABAJADORES DEL PUERTO DEL CALLAO MZ R LT 36 CALLAO, LIMA</t>
  </si>
  <si>
    <t>15/05/2026 ESCRITO:; ADJUNTO COPIAS CON FIRMA ELECTRONICO</t>
  </si>
  <si>
    <t>TORRES CERRON, EVA</t>
  </si>
  <si>
    <t>107024101005383939</t>
  </si>
  <si>
    <t>21,121.48</t>
  </si>
  <si>
    <t>01743-2024-1-1866-JP-CI-03</t>
  </si>
  <si>
    <t>01743-2024-0-1809-JP-CI-03</t>
  </si>
  <si>
    <t>TOTALIDAD DEL INMUEBLE (1 RANGO) UBICADO EN UNIDAD INMOBILIARIA NUMERO TRES SEGUNDO PISO CALLE ANDRES AVELINO CACERES MANZANA Z-2 LOTE 33 URB UNIVERSAL PRIMERA Y SEGUNDA ETAPA SANTA ANITA PARTIDA ELECTRONICA 15377852</t>
  </si>
  <si>
    <t>03/06/2025RES 06: AUTO FINAL</t>
  </si>
  <si>
    <t>VELASQUEZ CONTRERAS, ROBERT NICOLAS</t>
  </si>
  <si>
    <t>107180101000592327</t>
  </si>
  <si>
    <t>26,036.63</t>
  </si>
  <si>
    <t>03790-2025-17-1866-JP-CI-02</t>
  </si>
  <si>
    <t>03790-2025-0-1809-JP-CI-02</t>
  </si>
  <si>
    <t>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t>
  </si>
  <si>
    <t>04/03/2026 RES 1: ADMITIDA FORMALIZACION</t>
  </si>
  <si>
    <t>VILLARREAL APAZA, FATIMA RUTH</t>
  </si>
  <si>
    <t>107180101000560340</t>
  </si>
  <si>
    <t>35,449.77</t>
  </si>
  <si>
    <t>04328-2025-45-1866-JP-CI-03</t>
  </si>
  <si>
    <t>04328-2025-0-1809-JP-CI-03</t>
  </si>
  <si>
    <t>TOTALIDAD DEL BIEN INMUEBLE QUE LE CORRESPONDEN AL TITULAR VILLARREAL APAZA, FATIMA RUTH, UBICADO EN DEPARTAMENTO INTERIOR H, JIRON CAPITAN ULISES DELBOY NUMERO 929,MAGDALENA DEL MAR, LIMA, LIMA., INSCRITO EN LA PARTIDA ELECTRONICA Nº 42416002</t>
  </si>
  <si>
    <t>20/04/2026 ESCRITO: ADJUNTO ARANCEL</t>
  </si>
  <si>
    <t>AG. MIRAFLORES</t>
  </si>
  <si>
    <t>633 ASESORES CONSULTORES PROPIEDADES S.A.C.</t>
  </si>
  <si>
    <t>107038101002142908</t>
  </si>
  <si>
    <t>44,462.02</t>
  </si>
  <si>
    <t>05001-2023-0-1809-JP-CI-02</t>
  </si>
  <si>
    <t>08/09/2025RES 05: APERSONADOS</t>
  </si>
  <si>
    <t>SE NOTIFICA A CLIENTE EN SU VIVIENDA 4 PISOS COLOR LADRILLO DEPARTAMENTO 102</t>
  </si>
  <si>
    <t>ABRIENDO JUEGO S.A.C.</t>
  </si>
  <si>
    <t>107038101002168324</t>
  </si>
  <si>
    <t>73,519.96</t>
  </si>
  <si>
    <t>14678-2023-0-1817-JR-CO-13</t>
  </si>
  <si>
    <t>MARCA CHEVROLET, MODELO CAPTIVA, DEL AÑO 2013, DE PLACA ADM100 Y REGISTRADA EN LA PARTIDA N° ADM100</t>
  </si>
  <si>
    <t>11/06/2026 ESCRITO: SE OFICIE A LA FISCALIA PROVINCIAL PENAL</t>
  </si>
  <si>
    <t>ACON ROJAS, ELIZABETH MERCEDES</t>
  </si>
  <si>
    <t>107038101002204727</t>
  </si>
  <si>
    <t>110,323.76</t>
  </si>
  <si>
    <t>7°JUZGADO CIVIL-COMERCIAL DE LIMA</t>
  </si>
  <si>
    <t>10349-2023-50-1817-JR-CO-07</t>
  </si>
  <si>
    <t>462375-2023</t>
  </si>
  <si>
    <t>10349-2023-0-1817-JR-CO-07</t>
  </si>
  <si>
    <t>MZ. K LOTE 5 CENTRO POBLADO CHANA, DISTRITO DE SAN PEDRO DE CHANA, PROVINCIA HUARI Y DEPARTAMENTO DE ANCASH, que se encuentra especificado en Certificado Literal con número de partida P37041159</t>
  </si>
  <si>
    <t>22/05/2026 ESCRITO: CUMPLO CON ADJUNTAR ARANCEL DE HABILITACION DE NOTIFICACION</t>
  </si>
  <si>
    <t>SE NOTIFICA A CLIENTE EN SU VIVIENDA 2 PISOS COLOR CELESTE Y BLANCO</t>
  </si>
  <si>
    <t>ALVAREZ ALZAMORA, KLEID RODERICK</t>
  </si>
  <si>
    <t>107038101003053510</t>
  </si>
  <si>
    <t>35,587.21</t>
  </si>
  <si>
    <t>01419-2025-0-1820-JP-CI-02</t>
  </si>
  <si>
    <t xml:space="preserve">24/06/2026 RES 04: CONSENTIDO AUTO FINAL </t>
  </si>
  <si>
    <t>ANDRES EGUSQUIZA, ELSA LIZBETH</t>
  </si>
  <si>
    <t>107038101002161149</t>
  </si>
  <si>
    <t>11298.44</t>
  </si>
  <si>
    <t>04112-2023-0-1809-JP-CI-05</t>
  </si>
  <si>
    <t>19/03/2025RES 8: APERSONADO</t>
  </si>
  <si>
    <t>SE NOTIFICA A CLIENTE EN SU VIVIENDA CASA 2 PISOS COLOR BLANCO TALLER</t>
  </si>
  <si>
    <t>ANTON SANCHEZ, ALBERTO</t>
  </si>
  <si>
    <t>107038101001249321</t>
  </si>
  <si>
    <t>234393.46</t>
  </si>
  <si>
    <t>1°JUZGADO CIVIL-COMERCIAL DE LIMA</t>
  </si>
  <si>
    <t>14084-2019-0-1817-JR-CO-01</t>
  </si>
  <si>
    <t>EDIFICIO 1: DEPARTAMENTO 403 – CUARTO PISO. JIRÓN CATALINO MIRANDA N°453, URBANIZACIÓN DEL FUNDO TEJADA, DISTRITO DE SANTIAGO DE SURCO, PROVINCIA Y DEPARTAMENTO DE LIMA E INSCRITO EN LA PARTIDA ELECTRÓNICA N° 14019321</t>
  </si>
  <si>
    <t>10/02/2026 ESCRITO: ABSUELVO TRASLADO DE NULIDAD</t>
  </si>
  <si>
    <t>ART STUCCO S.A.C.</t>
  </si>
  <si>
    <t>107038101002139328</t>
  </si>
  <si>
    <t>60862.35</t>
  </si>
  <si>
    <t>10350-2023-27-1817-JR-CO-11</t>
  </si>
  <si>
    <t>480072-2023</t>
  </si>
  <si>
    <t>10350-2023-0-1817-JR-CO-11</t>
  </si>
  <si>
    <t>PUEBLO JOVEN VILLA EL SALVADOR MZ K LOTE 22 SECTOR SEGUNDO, GRUPO RESIDENCIAL 21, DISTRITO DE VILLA EL SALVADOR, LIMA que se encuentra especificado en Certificado Literal con número de partida P03005545</t>
  </si>
  <si>
    <t>10/06/2025RES 06: SOBRECARTESE A LAS PARTES</t>
  </si>
  <si>
    <t>ARTEAGA PALOMINO, YURINA</t>
  </si>
  <si>
    <t>107038101003098761</t>
  </si>
  <si>
    <t>79,094.22</t>
  </si>
  <si>
    <t>16°JUZGADO CIVIL-COMERCIAL DE LIMA</t>
  </si>
  <si>
    <t>20178-2025-0-1828-JR-CO-16</t>
  </si>
  <si>
    <t>16/03/2026 ESCRITO: SOLICITO AUTO FINAL</t>
  </si>
  <si>
    <t>AZAÑERO URQUIA, SEGUNDO EMILIANO</t>
  </si>
  <si>
    <t>107038101002176559</t>
  </si>
  <si>
    <t>17791.29</t>
  </si>
  <si>
    <t>05011-2023-0-1809-JP-CI-02</t>
  </si>
  <si>
    <t>10/06/2026 RES 09: AUTO FINAL</t>
  </si>
  <si>
    <t>SE NOTIFICA A CLIENTE EN SU VIVIENDA 2 PISOS</t>
  </si>
  <si>
    <t>BOCANEGRA MURRIETA, DORIS CONSUELO</t>
  </si>
  <si>
    <t>107038101002997988</t>
  </si>
  <si>
    <t>30,850.08</t>
  </si>
  <si>
    <t>03803-2024-2-1866-JP-CI-03</t>
  </si>
  <si>
    <t>03803-2024-0-1809-JP-CI-03</t>
  </si>
  <si>
    <t>EN CALIFICACION</t>
  </si>
  <si>
    <t>INMUEBLE UBICADO EN CENTRO POBLADO SAN NICOLAS MZ. 27 SUB. LOTE 3-A DISTRI. SAN DPTO DE AMAZONAS</t>
  </si>
  <si>
    <t>22/04/2026 RES. 01ADMITE LA DEMANDA</t>
  </si>
  <si>
    <t>SE NOTIFICA A CLIENTE EN SU VIVIENDA COLOR ROJO 2 PISOS</t>
  </si>
  <si>
    <t>CAMIZAN MARTINEZ, CARMEN ROSA</t>
  </si>
  <si>
    <t>107038101002179554</t>
  </si>
  <si>
    <t>52031.8</t>
  </si>
  <si>
    <t>15°JUZGADO CIVIL-COMERCIAL DE LIMA</t>
  </si>
  <si>
    <t>22404-2023-0-1817-JR-CO-15</t>
  </si>
  <si>
    <t>03/07/2026 RES 05: CONSENTIDO EL AUTO FINAL  Y REQUIERA EL PAGO TOTAL</t>
  </si>
  <si>
    <t>SE NOTIFICA A CLIENTE EN SU VIVIENDA 1 PISOS COLOR CREMA</t>
  </si>
  <si>
    <t>CANDELA CALDERON, MIGUEL ALEJANDRO</t>
  </si>
  <si>
    <t>107038101002140722</t>
  </si>
  <si>
    <t>35348.25</t>
  </si>
  <si>
    <t>05010-2023-0-1809-JP-CI-03</t>
  </si>
  <si>
    <t>15/03/2025RES 6: APERSONADO</t>
  </si>
  <si>
    <t>SE NOTIFICA A CLIENTE EN SU VIVIENDA 1 PISOS COLOR VERDE</t>
  </si>
  <si>
    <t>CARRASCO VEGA, LUIS ENRIQUE</t>
  </si>
  <si>
    <t>107038101001307784</t>
  </si>
  <si>
    <t>216060.1</t>
  </si>
  <si>
    <t>14687-2023-0-1817-JR-CO-04</t>
  </si>
  <si>
    <t>Urbanización Del Fundo Tejada, Distrito de Santiago de Surco, Provincia y</t>
  </si>
  <si>
    <t>25/07/2025RES 10: CONFORME CON EL CONVENIO DE PAGO</t>
  </si>
  <si>
    <t>CASTAÑEDA RAMOS, HERRI HERMANN</t>
  </si>
  <si>
    <t>107038101002117980</t>
  </si>
  <si>
    <t>33174.08</t>
  </si>
  <si>
    <t>03105-2023-0-1809-JP-CI-01</t>
  </si>
  <si>
    <t>14/05/2025RES 06: CONCEDIDO APERSONAMIENTO</t>
  </si>
  <si>
    <t>SE NOTIFICA A CLIENTE EN SU VIVIENDA 1 PISO</t>
  </si>
  <si>
    <t>CASTILLO HUAMAN VDA DE FLORES, OLGA JUVENCIA</t>
  </si>
  <si>
    <t>107038101002881811</t>
  </si>
  <si>
    <t>27,959.59</t>
  </si>
  <si>
    <t>04861-2024-0-1866-JP-CI-03</t>
  </si>
  <si>
    <t>22/01/2026 RES 05: CONSENTIDA AUTO FINAL</t>
  </si>
  <si>
    <t>CASTRO DE ACOSTA, MANUEL EMILIO</t>
  </si>
  <si>
    <t>107038101002178284</t>
  </si>
  <si>
    <t>79972.95</t>
  </si>
  <si>
    <t>22402-2023-0-1817-JR-CO-07</t>
  </si>
  <si>
    <t>20/06/2025RES 06: CONCEDIDO APERSONAMIENTO</t>
  </si>
  <si>
    <t>SE NOTIFICA A CLIENTE EN SU VIVIENDA 1 PISO BLANCO</t>
  </si>
  <si>
    <t>CHAVARRIA QUEZADA, DANIEL OSCAR</t>
  </si>
  <si>
    <t>107038101002471034</t>
  </si>
  <si>
    <t>15586.48</t>
  </si>
  <si>
    <t>05757-2023-31-1809-JP-CI-03</t>
  </si>
  <si>
    <t>05757-2023-0-1809-JP-CI-03</t>
  </si>
  <si>
    <t>PUEBLO JOVEN PAMPLONA ALTA MZ 16 LOTE 17 DISTRITO DE SAN JUAN DE MIRAFLORES, que se encuentra especificado en Certificado Literal con número de partida P03052130 (TÍTULO N° 2024-01181457)</t>
  </si>
  <si>
    <t>06/02/2025EXPEDIENTE REMITIDO A JUZGADOS COMERCIALES POR APELACION DEL DEMANDADO, NOS APERSONAMOS AL PROCESO CON FECHA 06/02/2025</t>
  </si>
  <si>
    <t>CLV CONTRATISTAS S.A.C</t>
  </si>
  <si>
    <t>107038101003337224</t>
  </si>
  <si>
    <t>356,577.45</t>
  </si>
  <si>
    <t>3° JUZGADO CIVIL-COMERCIAL</t>
  </si>
  <si>
    <t>30930-2025-96-1828-JR-CO-03</t>
  </si>
  <si>
    <t>30930-2025-0-1817-JR-CO-03</t>
  </si>
  <si>
    <t>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t>
  </si>
  <si>
    <t>30/04/2026 ESCRITO: FORMALIZACION</t>
  </si>
  <si>
    <t>COLOMA TORRES, MARY LUZ</t>
  </si>
  <si>
    <t>107038101002130216</t>
  </si>
  <si>
    <t>49, 375.12</t>
  </si>
  <si>
    <t>00182-2024-0-1866-JP-CO-03</t>
  </si>
  <si>
    <t>01/12/2025RES 05: CONSENTIDO AUTO FINAL</t>
  </si>
  <si>
    <t>SE NOTIFICA A CLIENTE EN SU VIVIENDA NARANJA PORTON NEGRO</t>
  </si>
  <si>
    <t>CONDORI LINARES, BEATRIZ</t>
  </si>
  <si>
    <t>107038101002146293</t>
  </si>
  <si>
    <t>11371.04</t>
  </si>
  <si>
    <t>4° JUZGADO DE PAZ LETRADO (SEDE BARRANCO - MIRAFLORES)</t>
  </si>
  <si>
    <t>05015-2023-0-1809-JP-CI-04</t>
  </si>
  <si>
    <t>SE NOTIFICA A CLIENTE EN SU VIVIENDA 4 PISOS COLOR PLOMO SE DEJA BAJO PUERTA</t>
  </si>
  <si>
    <t>CORPORACION AGUINAGA SOCIEDAD ANONIMA CERRADA</t>
  </si>
  <si>
    <t>107038101002219824</t>
  </si>
  <si>
    <t>162994.96</t>
  </si>
  <si>
    <t>12° JUZGADO CIVIL - COMERCIAL DE LIMA</t>
  </si>
  <si>
    <t>10385-2023-0-1817-JR-CO-12</t>
  </si>
  <si>
    <t>29/04/2025RES 07: ADMITIDO APERSONAMIENTO</t>
  </si>
  <si>
    <t>CORPORACION DE INVERSIONES ESTETICAS S.A.C.</t>
  </si>
  <si>
    <t>107038101002152949</t>
  </si>
  <si>
    <t>108309.15</t>
  </si>
  <si>
    <t>2°JUZGADO CIVIL-COMERCIAL</t>
  </si>
  <si>
    <t>20209-2023-0-1817-JR-CO-02</t>
  </si>
  <si>
    <t>31/03/2025RES 06: ADMITEN EL APERSONAMIENTO</t>
  </si>
  <si>
    <t>SE NOTIFICA A CLIENTE EN SU VIVIENDA CASA 3 PISOS COLOR CREMA</t>
  </si>
  <si>
    <t>CORPORACION GLOBAL FRUITS SAC</t>
  </si>
  <si>
    <t>107038101002116432</t>
  </si>
  <si>
    <t>71120.62</t>
  </si>
  <si>
    <t>10335-2023-0-1817-JR-CO-01</t>
  </si>
  <si>
    <t>21/06/2026 RES 06: SE NOS NOTIFICA CON ATENDIDO NUESTRO APERSONAMIENTO</t>
  </si>
  <si>
    <t>CUBAS PEREZ, JOSE WILLAN</t>
  </si>
  <si>
    <t>107038101002847613</t>
  </si>
  <si>
    <t>25570.37</t>
  </si>
  <si>
    <t>05755-2023-82-1809-JP-CI-03</t>
  </si>
  <si>
    <t>05755-2023-0-1809-JP-CI-03</t>
  </si>
  <si>
    <t>INSCRIPCIÓN DE SECCIÓN ESPECIAL DE PREDIOS RURALES QUEROCOTO, DEPARTAMENTO DE CAJAMARCA, PREDIO LA GRANJA PARCELA 2425 HA 3,550 que se encuentra especificado en Certificado Literal con número de partida 11027711 OFICINA REGISTRAL CHOTA SEDE CHICLAYO TITULO 2024-00038397</t>
  </si>
  <si>
    <t xml:space="preserve">04/06/2026 ESCRITO: SE INFORMO PAGA A PERITOS </t>
  </si>
  <si>
    <t>SE NOTIFICA A CLIENTE EN SU VIVIENDA DE DOS PISOS COLOR NARANJA PUERTA DE MADERA.</t>
  </si>
  <si>
    <t>D COSTA RESTOBAR SOCIEDAD ANONIMA CERRADA D' COSTA RESTOBAR S.A.C.</t>
  </si>
  <si>
    <t>107038101002182669</t>
  </si>
  <si>
    <t>12942.25</t>
  </si>
  <si>
    <t>20211-2023-0-1817-JR-CO-16</t>
  </si>
  <si>
    <t>14/08/2025RES 05: APERSONADOS</t>
  </si>
  <si>
    <t>SE NOTIFICA A CLIENTE EN SU VIVIENDA 2 PISOS COLOR VERDE LIMON</t>
  </si>
  <si>
    <t>DIAZ ESPINOZA, CARLOS ALBERTO</t>
  </si>
  <si>
    <t>107038101002147296</t>
  </si>
  <si>
    <t>27248.12</t>
  </si>
  <si>
    <t>02116-2023-32-1809-JP-CI-05</t>
  </si>
  <si>
    <t>02116-2023-0-1809-JP-CI-05</t>
  </si>
  <si>
    <t>TOTALIDAD DEL BIEN INSCRITO EN LA PARTIDA P03306285</t>
  </si>
  <si>
    <t>09/04/2025RES 05: ADMITIDO APERSONAMIENTO</t>
  </si>
  <si>
    <t>SE NOTIFICA A CLIENTE EN SU VIVIENDA 2 PISOS COLOR BEICHE CENTRO DE TRABAJO</t>
  </si>
  <si>
    <t>D'TALLES IMPORT SOCIEDAD ANONIMA CERRADA D'TALLES IMPORT SAC</t>
  </si>
  <si>
    <t>107038101002119770</t>
  </si>
  <si>
    <t>20124.53</t>
  </si>
  <si>
    <t>01272-2024-0-1866-JP-CI-04</t>
  </si>
  <si>
    <t>15/06/2026 RES 04: TENGASE POR CUMPLIDO LO SOLICITADO</t>
  </si>
  <si>
    <t>SE NOTIFICA A CLIENTE EN SU VIVIENDA EDIFICIO AZUL CON VENTANAS GRANDES</t>
  </si>
  <si>
    <t>E Y G INDUSTRIAS &amp; SERVICIOS MULTIPLES E.I.R.L</t>
  </si>
  <si>
    <t>107038101002222676</t>
  </si>
  <si>
    <t>97,669.78</t>
  </si>
  <si>
    <t>03958-2025-94-1828-JR-CO-01</t>
  </si>
  <si>
    <t>03958-2025-0-1817-JR-CO-01</t>
  </si>
  <si>
    <t>INMUEBLE LOTE 06 DE LA MANZANA B CON FRENTE A LA AV. UNIVERSITARIA URBANIZACIÓN LUCYANA, DISTRITO DE CARABAYLLO, PROVINCIA Y DEPARTAMENTO DE LIMA PARTIDA 13879747</t>
  </si>
  <si>
    <t>03/07/2026 ESCRITO: ABSUELVO TRASLADO</t>
  </si>
  <si>
    <t>SE NOTIFICA A CLIENTE EN SU VIVIENDA CASA 2 PISOS</t>
  </si>
  <si>
    <t>EDITORIAL HANS S.A.C</t>
  </si>
  <si>
    <t>107038101002180423</t>
  </si>
  <si>
    <t>125,061.45</t>
  </si>
  <si>
    <t>13906-2025-79-1828-JR-CO-04</t>
  </si>
  <si>
    <t>13906-2025-0-1817-JR-CO-04</t>
  </si>
  <si>
    <t>TOTALIDAD DEL BIEN QUE LE CORRESPONDEN AL FIADOR SUAREZ COVEÑAS, MARGOT BELINDA, DEL BIEN INMUEBLE UBICADO EN AV. DEL AIRE DEPARTAMENTO Nº202, SAN ISIDRO, LIMA, LIMA PARTIDA ELECTRÓNICA N°4139423 ( SEGUNDO RANGO)</t>
  </si>
  <si>
    <t>03/07/2026 RES 03: AUTO FINAL</t>
  </si>
  <si>
    <t>SE NOTIFICA A CLIENTE EN SU VIVIENDA CASA 1 PISO COLOR BLANCO</t>
  </si>
  <si>
    <t>FERREMAS FV E.I.R.L.</t>
  </si>
  <si>
    <t>107038101002177926</t>
  </si>
  <si>
    <t>101772.26</t>
  </si>
  <si>
    <t>22401-2023-0-1817-JR-CO-12</t>
  </si>
  <si>
    <t>28/04/2025RES 06: ADMITE APERSONAMIENTO</t>
  </si>
  <si>
    <t>SE NOTIFICA A CLIENTE EN SU VIVIENDA 2 PISOS COLOR NEGRO</t>
  </si>
  <si>
    <t>GERONIMO RODRIGUEZ, IVAN OMAR</t>
  </si>
  <si>
    <t>107038101002924413</t>
  </si>
  <si>
    <t>65,154.77</t>
  </si>
  <si>
    <t>34731-2024-27-1828-JR-CO-17</t>
  </si>
  <si>
    <t>INMUEBLE UBICADO EN EL LOTE 25 DE LA MANZANA J URBANIZACION SAN ELIAS, DISTRITO DE LOS OLIVOS, PROVINCIA Y DEPARTAMENTO DE LIMA. INSCRITO EN LA PARTIDA N° 44227665</t>
  </si>
  <si>
    <t>SE NOTIFICA A CLIENTE EN SU VIVIENDA 4 PISOS BLANCO ATIENDE PAPÁ</t>
  </si>
  <si>
    <t>GERONIMO RODRIGUEZ, JUAN CARLOS</t>
  </si>
  <si>
    <t>107038101002466200</t>
  </si>
  <si>
    <t>24,963,36</t>
  </si>
  <si>
    <t>00871-2025-67-1866-JP-CI-03</t>
  </si>
  <si>
    <t>00871-2025-0-1809-JP-CI-03</t>
  </si>
  <si>
    <t>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t>
  </si>
  <si>
    <t>27/10/2025RES 02: AUTO FINAL</t>
  </si>
  <si>
    <t>GONZALES COSIO, YESICA</t>
  </si>
  <si>
    <t>107038101002161553</t>
  </si>
  <si>
    <t>29180.11</t>
  </si>
  <si>
    <t>02113-2023-0-1809-JP-CI-02</t>
  </si>
  <si>
    <t>11/07/2025RES 05: APERSONADOS</t>
  </si>
  <si>
    <t>GONZALEZ GONZALEZ, JOSE ANTONIO</t>
  </si>
  <si>
    <t>107038101002808674</t>
  </si>
  <si>
    <t>35851.67</t>
  </si>
  <si>
    <t>02089-2024-0-1866-JP-CI-03</t>
  </si>
  <si>
    <t>21/03/2025RES 06: APERSONADOS</t>
  </si>
  <si>
    <t>GRUPO VALEOGA S.A.C.</t>
  </si>
  <si>
    <t>107038101002138745</t>
  </si>
  <si>
    <t>585764.05</t>
  </si>
  <si>
    <t>09746-2023-76-1817-JR-CO-11</t>
  </si>
  <si>
    <t>09746-2023-0-1817-JR-CO-11</t>
  </si>
  <si>
    <t>CONSENTIDO AUTO FINAL</t>
  </si>
  <si>
    <t>URBANIZACIÓN TUPAC AMARU LOTE 02 MANZANA G-10, DISTRITO DE INDEPENDENCIA, PROVINCIA Y DEPARTAMENTO DE LIMA, que se encuentra especificado en Certificado Literal con número de partida 49015532</t>
  </si>
  <si>
    <t>03/06/2026 ESCRITO: DESIGNACION DE PERITOS</t>
  </si>
  <si>
    <t>HEREDIA ESTELA, MARIA LEYLA</t>
  </si>
  <si>
    <t>107038101002120316</t>
  </si>
  <si>
    <t>17011.97</t>
  </si>
  <si>
    <t>04833-2022-0-1809-JP-CI-01</t>
  </si>
  <si>
    <t>28/03/2025RES 10: SE NOTIFICARA A LAS PARTES</t>
  </si>
  <si>
    <t>HUALLPA MEJIA, EVELYN LILIANA</t>
  </si>
  <si>
    <t>107038101002560142</t>
  </si>
  <si>
    <t>34,283,13</t>
  </si>
  <si>
    <t>00695-2025-0-1820-JP-CI-02</t>
  </si>
  <si>
    <t>24/06/2026 RES 03: CONSENTIDO EL AUTO FINAL</t>
  </si>
  <si>
    <t>SE NOTIFICA A CLIENTE EN SU VIVIENDA PRECARIA DE UN PISO TECHO CALAMINA SIN PINTAR</t>
  </si>
  <si>
    <t>HUAMANI RODAS, BETHSABE ALESSANDRA</t>
  </si>
  <si>
    <t>107038101002383450</t>
  </si>
  <si>
    <t>20533.25</t>
  </si>
  <si>
    <t>02737-2023-98-1809-JP-CI-05</t>
  </si>
  <si>
    <t>02737-2023-0-1809-JP-CI-05</t>
  </si>
  <si>
    <t>PASAJE COMUN NUMERO 5, STAND 2198, LA VICTORIA, LIMA, que se encuentra especificado en Certificado Literal con número de partida 43681664 de la Zona Registral N° IX – SEDE LIMA – OFICINA REGISTRAL DE LIMA</t>
  </si>
  <si>
    <t>12/06/2026 ESCRITO: SOLICITO APROBACION DE TASACION, PUBLICACION DE AVISO DE REMATE EN REMAJU Y FIJACION DE CARTELES</t>
  </si>
  <si>
    <t>SE NOTIFICA A CLIENTE EN SU VIVIENDA EDIFICIO DE 5 PISOS COLOR LADRILLO</t>
  </si>
  <si>
    <t>HUANCAS VASQUEZ, LUZ JEARELY</t>
  </si>
  <si>
    <t>107038101002765040</t>
  </si>
  <si>
    <t>57386.04</t>
  </si>
  <si>
    <t>20207-2023-45-1817-JR-CO-13</t>
  </si>
  <si>
    <t>20207-2023-0-1817-JR-CO-13</t>
  </si>
  <si>
    <t>PREDIO URBANO JR LAS BEGONIAS MZ K LOTE 4 LA BANDA DE SHILCAYO, que se encuentra especificado en Certificado Literal con número de partida 11032547 de la Zona Registral N° III – SEDE MOYOBAMBA – OFICINA REGISTRAL DE TARAPOTO / TÍTULO : TARAPOTO - 2023 - 03549057</t>
  </si>
  <si>
    <t>20/05/2026 ESCRITO: ADJUNTO ARANCELES</t>
  </si>
  <si>
    <t>SE NOTIFICA A CLIENTE EN SU VIVIENDA EN LURIN CASA 2 PISOS COLOR BLANCO TIENE SU CENTRO DE BELLEZA DE</t>
  </si>
  <si>
    <t>INSERCOMGAS S.A.C.</t>
  </si>
  <si>
    <t>107038101002184015</t>
  </si>
  <si>
    <t>58, 679. 36</t>
  </si>
  <si>
    <t>22148-2024-0-1828-JR-CO-15</t>
  </si>
  <si>
    <t>SE NOTIFICA A CLIENTE EN SU VIVIENDA PORTON PLOMO CASA BLANCA</t>
  </si>
  <si>
    <t>INVERSIONES CRISTELLE AD E.I.R.L.</t>
  </si>
  <si>
    <t>107038101002241665</t>
  </si>
  <si>
    <t>122,302.17</t>
  </si>
  <si>
    <t>18650-2025-0-1828-JR-CO-12</t>
  </si>
  <si>
    <t>TOTALIDAD DEL INMUEBLE UBICADO EN LOCAL 146 (PRIMER NIVEL) JIRON ANDAHUAYLAS- CALLE PLAZUELA DE SANTA CATALINA Nº 1138, CERCADO DE LIMA, LIMA, INSCRITO EN LA PARTIDA ELECTRONICA Nº 11929058</t>
  </si>
  <si>
    <t>26/06/2026 RES 06: SE APERSONA DEMANDADA Y SE DETALLA QUE YA SE COMUNICO CONVENIO</t>
  </si>
  <si>
    <t>INVERSIONES PARA LA PRODUCCION Y SERVICIOS S.A.C.</t>
  </si>
  <si>
    <t>107038101002169270</t>
  </si>
  <si>
    <t>38305.83</t>
  </si>
  <si>
    <t>06415-2023-0-1809-JP-CI-04</t>
  </si>
  <si>
    <t>08/05/2026 ESCRITO: ABSUELVO TRASLADO</t>
  </si>
  <si>
    <t>SE NOTIFICA A CLIENTE EN SU VIVIENDA 4 PISOS COLOR BEICHE</t>
  </si>
  <si>
    <t>ISAMARA CATERING EIRL</t>
  </si>
  <si>
    <t>107038101002129852</t>
  </si>
  <si>
    <t>23158.82</t>
  </si>
  <si>
    <t>02154-2023-95-1809-JP-CI-01</t>
  </si>
  <si>
    <t>02154-2023-0-1809-JP-CI-01</t>
  </si>
  <si>
    <t>SOBRE EL 100% DE LAS ACCIONES Y DERECHOS, del bien mueble de la sociedad conyugal LUNA VASQUEZ VICTOR HUGO, cuyas características son las siguientes: 
  - Carrocería : MULTIPROPÓSITO
  - Marca : CHEVROLET
  - Modelo : N300
  - Año de fabricación : 2013
  - Placa de rodaje : F7L207
  - Partida registral : 52859559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 SOBRE EL 100% DE LAS ACCIONES Y DERECHOS, del bien mueble de la persona jurídica ISAMARA CATERING EIRL, cuyas características son las siguientes: 
  - Carrocería : FURGÓN
  - Marca : BAW
  - Modelo : INCAPOWER B40
  - Año de fabricación : 2015
  - Placa de rodaje : APR946
  - Partida registral : 53476503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t>
  </si>
  <si>
    <t>20/02/2026 ESCRITO: ADJUNTO DOCUMENTOS PARA LA BUSQUEDA Y CAPTURA</t>
  </si>
  <si>
    <t>JOHARI M &amp; N INVERSIONES E.I.R.L.</t>
  </si>
  <si>
    <t>107038101002117778</t>
  </si>
  <si>
    <t>59180.31</t>
  </si>
  <si>
    <t>03336-2025-0-1828-JR-CO-11</t>
  </si>
  <si>
    <t>15/01/2026 RES. 04: AUTO FINAL</t>
  </si>
  <si>
    <t>JURADO REMICIO, LLINDER HAROLDO</t>
  </si>
  <si>
    <t>107038101002561981</t>
  </si>
  <si>
    <t>25,386.50</t>
  </si>
  <si>
    <t>00697-2025-0-1820-JP-CI-03</t>
  </si>
  <si>
    <t>04/06/2025RES 02: AUTO FINAL</t>
  </si>
  <si>
    <t>SE NOTIFICA A CLIENTE EN SU VIVIENDA CASA 1 PISO COLOR AZUL CON TECHO DE CALAMINA</t>
  </si>
  <si>
    <t>LFA &amp; SUMINISTROS MINEROS S.A.C. LFA &amp; SUMIN S.A.C.</t>
  </si>
  <si>
    <t>107038101002204828</t>
  </si>
  <si>
    <t>87357.15</t>
  </si>
  <si>
    <t>24453-2023-0-1817-JR-CO-16</t>
  </si>
  <si>
    <t>SE NOTIFICA A CLIENTE EN SU VIVIENDA DEL AVAL EDIFICIO DE 10 PISOS COLOR PLOMO SE DEJA EN RECEPCION</t>
  </si>
  <si>
    <t>LMC CONSTRUCCION &amp; INGENIERIA S.A.C</t>
  </si>
  <si>
    <t>107038101002140318</t>
  </si>
  <si>
    <t>16548.81</t>
  </si>
  <si>
    <t>02102-2023-0-1809-JP-CI-03</t>
  </si>
  <si>
    <t>05/05/2026 RES 18: NOTIFIQUESE A LAS PARTES ( LUEGO DE ELLO SE TOMARA EN CUENTA EL ESCRITO DE CONSENTIMEINTO )</t>
  </si>
  <si>
    <t>SE NOTIFICA A CLIENTE EN SU VIVIENDA 2 PISOS COLOR VERDE OSCURO</t>
  </si>
  <si>
    <t>LOSSIO OLAVARRIA, ERNESTO GABRIEL</t>
  </si>
  <si>
    <t>107038101002904855</t>
  </si>
  <si>
    <t>12,878.42</t>
  </si>
  <si>
    <t>EMBARGO EN FORMA DE RETENCION</t>
  </si>
  <si>
    <t>02711-2024-91-1866-JP-CI-03</t>
  </si>
  <si>
    <t>EJECUTADA</t>
  </si>
  <si>
    <t>02711-2024-0-1809-JP-CI-03</t>
  </si>
  <si>
    <t>CUENTAS BANCARIAS</t>
  </si>
  <si>
    <t>03/06/2026 ESCRITO: SOLICITA CONSENTIMIENTO DE AUTO FINAL, REQUERIMIENTO DE PAGO Y ENDOSO DE DEPÓSITOS JUDICIALES</t>
  </si>
  <si>
    <t>SE NOTIFICA A CLIENTE EN SU VIVIENDA QUINTA COLOR NARANJA</t>
  </si>
  <si>
    <t>LVL EXPORT S.A.C.</t>
  </si>
  <si>
    <t>107038101002196804</t>
  </si>
  <si>
    <t>58,571.43</t>
  </si>
  <si>
    <t>09392-2025-0-1828-JR-CO-05</t>
  </si>
  <si>
    <t>12/06/2026 RES 03: CONSENTIDO EL AUTO FINAL</t>
  </si>
  <si>
    <t>SE NOTIFICA A CLIENTE EN SU VIVIENDA EDIFICIO DE 10 PISOS PLOMO SE DEJA EN RECEPCION</t>
  </si>
  <si>
    <t>MAMANI FARFAN, VINCENT DAVID</t>
  </si>
  <si>
    <t>107038101003186602</t>
  </si>
  <si>
    <t>23,824.37</t>
  </si>
  <si>
    <t>01420-2025-0-1820-JP-CI-03</t>
  </si>
  <si>
    <t>04/05/2026 RES 03: CONSENTIDO AUTO FINAL Y REQUIERASE PAGO</t>
  </si>
  <si>
    <t>MARCACUZCO PALOMINO, NICOL ALONDRA</t>
  </si>
  <si>
    <t>107038101003256006</t>
  </si>
  <si>
    <t>79,201.08</t>
  </si>
  <si>
    <t>13985-2025-57-1828-JR-CO-03</t>
  </si>
  <si>
    <t>13985-2025-0-1817-JR-CO-03</t>
  </si>
  <si>
    <t>TOTALIDAD QUE LE CORRESPONDEN AL FIADOR MARCACUZCO PALOMINO, JORGE LUIS, DEL BIEN INMUEBLE UBICADO EN DEPARTAMENTO 101 – PRIMER PISO EDIFICIO 16, AVENIDA PRIMERO DE MAYO NUMERO 1947, RESIDENCIAL LOS PARQUES DE VILLA EL SALVADOR, VILLA EL SALVADOR, LIMA, LIMA PARTIDA ELECTRÓNICA N°13156266</t>
  </si>
  <si>
    <t>13/05/2026 ESCRITO: PRESENTACION DE FORMALIZACION</t>
  </si>
  <si>
    <t>MARIN MARTOS, BETTY GLORIA</t>
  </si>
  <si>
    <t>107038101002173077</t>
  </si>
  <si>
    <t>23843.8</t>
  </si>
  <si>
    <t>02132-2023-11-1809-JP-CI-02</t>
  </si>
  <si>
    <t>02132-2023-0-1809-JP-CI-02</t>
  </si>
  <si>
    <t>PUEBLO JOVEN REPUBLICA DEMOCRATICA ALEMANA MZ F LOTE 4, que se encuentra especificado en Certificado Literal con número de partida P03109654 de la Zona Registral N° IX – SEDE LIMA – OFICINA REGISTRAL DE LIMA.(TITULO 2023-02032627)</t>
  </si>
  <si>
    <t>20/05/2026 RES 07: NOTIFIQUESE POR ULTIMA VEZ AL MERITO MARTINEZ CHANG PARA QUE SE APERSONE</t>
  </si>
  <si>
    <t>MEJIA VEGA, DENIS</t>
  </si>
  <si>
    <t>107038101003030569</t>
  </si>
  <si>
    <t>32,686.10</t>
  </si>
  <si>
    <t>01418-2025-0-1820-JP-CI-04</t>
  </si>
  <si>
    <t>06/03/2026 RES 04: AUTO FINAL</t>
  </si>
  <si>
    <t>MENDOZA HUAMANI, HERLINDA GREGORIA</t>
  </si>
  <si>
    <t>107038101002484585</t>
  </si>
  <si>
    <t>26559.12</t>
  </si>
  <si>
    <t>00726-2025-80-1866-JP-CI-03</t>
  </si>
  <si>
    <t>00726-2025-0-1809-JP-CI-03</t>
  </si>
  <si>
    <t>DEPOSITO 11 - SEGUNDO PISO CALLE SAN DIEGO NUMERO 103 DISTRITO SURQUILLO, que se encuentra especificado en Certificado Literal con número de partida 42107298 de la Zona Registral N° IX – SEDE LIMA – OFICINA REGISTRAL DE LIMA</t>
  </si>
  <si>
    <t>03/07/2025RES 01: ADMITIDA LA FORMALIZACION</t>
  </si>
  <si>
    <t>SE NOTIFICA A CLIENTE EN SU VIVIENDA 3 PISOS COLOR AZUL SE DEJA A HIJOS</t>
  </si>
  <si>
    <t>MORALES SANCHEZ, DANY DANIEL</t>
  </si>
  <si>
    <t>107038101002204929</t>
  </si>
  <si>
    <t>296374.09</t>
  </si>
  <si>
    <t>10489-2023-68-1817-JR-CO-07</t>
  </si>
  <si>
    <t>10489-2023-0-1817-JR-CO-07</t>
  </si>
  <si>
    <t>CENTRO POBLADO RURAL CAJUCA MZ D4 LOTE 20 ETAPA SEGUNDA, QUE SE ENCUENTRA ESPECIFICADO EN CERTIFICADO LITERAL CON NÚMERO DE PARTIDA P05003511 DE LA ZONA REGISTRAL N° XI – SEDE ICA – OFICINA REGISTRAL DE NASCA</t>
  </si>
  <si>
    <t>17/06/2025RES 03:AUTO FINAL</t>
  </si>
  <si>
    <t>MUÑOZ ALVARADO, BRIGGIT DAYANNE</t>
  </si>
  <si>
    <t>107038101002133639</t>
  </si>
  <si>
    <t>30648.95</t>
  </si>
  <si>
    <t>03104-2023-0-1809-JP-CI-05</t>
  </si>
  <si>
    <t>15/03/2025RES 15: APERSONADO</t>
  </si>
  <si>
    <t>SE NOTIFICA A CLIENTE EN SU VIVIENDA 2 PISOS COLOR CREMA BODEGA</t>
  </si>
  <si>
    <t>NEYRA NEYRA, ADRIAN ALAIN</t>
  </si>
  <si>
    <t>107038101002226507</t>
  </si>
  <si>
    <t>19414.62</t>
  </si>
  <si>
    <t>00270-2025-0-1820-JP-CI-02</t>
  </si>
  <si>
    <t>13/04/2026 RES 09: CONSENTIDO EL AUTO FINAL</t>
  </si>
  <si>
    <t>NUEVA SIERRA SAC</t>
  </si>
  <si>
    <t>107038101002119871</t>
  </si>
  <si>
    <t>220683.52</t>
  </si>
  <si>
    <t>19336-2023-27-1817-JR-CO-07</t>
  </si>
  <si>
    <t>19336-2023-0-1817-JR-CO-07</t>
  </si>
  <si>
    <t>(1)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t>
  </si>
  <si>
    <t>03/06/2026 ESCRITO: SOLICITA REQUERIMIENTO DE PAGO POR ÚLTIMA VEZ PREVIO A LA EJECUCIÓN FORZADA</t>
  </si>
  <si>
    <t>PINCHI ARMAS, LUCINDA YDALITH</t>
  </si>
  <si>
    <t>107038101003312449</t>
  </si>
  <si>
    <t>61,223,75</t>
  </si>
  <si>
    <t>05359-2025-78-1828-JR-CO-06</t>
  </si>
  <si>
    <t>05359-2025-0-1817-JR-CO-06</t>
  </si>
  <si>
    <t>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t>
  </si>
  <si>
    <t>10/06/2026 ESCRITO: ADJUNTO LINK DE CAVALI</t>
  </si>
  <si>
    <t>PORROA SAAVEDRA, BETTSY KATERINE</t>
  </si>
  <si>
    <t>107038101002365202</t>
  </si>
  <si>
    <t>44612.54</t>
  </si>
  <si>
    <t>02009-2023-71-1809-JP-CI-03</t>
  </si>
  <si>
    <t>02009-2023-0-1809-JP-CI-03</t>
  </si>
  <si>
    <t>ASENTAMIENTO HUMANO LAS LADERAS DE VILLA MZ. H LOTE 14, SAN JUAN DE MIRAFLORES, LIMA, que se encuentra especificado en Certificado Literal con número de partida P03139578 (TITULO 2023-01999036)</t>
  </si>
  <si>
    <t>15/03/2025RES 7: APERSONADO</t>
  </si>
  <si>
    <t>QUISPE DIAZ, EDITH LAGOS</t>
  </si>
  <si>
    <t>107038101002159693</t>
  </si>
  <si>
    <t>40458.91</t>
  </si>
  <si>
    <t>02115-2023-0-1809-JP-CI-03</t>
  </si>
  <si>
    <t>15/03/2025RES 14: APERSONADO</t>
  </si>
  <si>
    <t>REPRESENTACIONES 4.L.L. S.A.C</t>
  </si>
  <si>
    <t>107038101002092861</t>
  </si>
  <si>
    <t>69480.52</t>
  </si>
  <si>
    <t>10°JUZGADO CIVIL-COMERCIAL</t>
  </si>
  <si>
    <t>02226-2023-0-1817-JR-CO-10</t>
  </si>
  <si>
    <t>Departamento de Lima e inscrito en la Partida Electrónica N° 14019321</t>
  </si>
  <si>
    <t>14/04/2026 ESCRITO: SE ADJUNTAN PAGOS DE PERITO Y PROGRAMAR FECHA Y HORA PARA LA TASACION</t>
  </si>
  <si>
    <t>SE NOTIFICA A CLIENTE EN SU VIVIENDA CASA 1 PISOS AZUL PUERTA NEGRA RECIBE FAMILIAR</t>
  </si>
  <si>
    <t>RIVAS SIMON, DAVIS ELIAS</t>
  </si>
  <si>
    <t>107038101003012127</t>
  </si>
  <si>
    <t>42,268.79</t>
  </si>
  <si>
    <t>03943-2024-6-1866-JP-CI-02</t>
  </si>
  <si>
    <t>03943-2024-0-1809-JP-CI-02</t>
  </si>
  <si>
    <t>INMUEBLE ASENTAMIENTO HUMANO AGRUPAMIENTO DE FAMILIAS LA HIGUERA MZ. A LOTE 10, DISTRITO DE LURIN, PROVINCIA Y DEPARTAMENTO DE LIMA, PARTIDA P03282553</t>
  </si>
  <si>
    <t>03/06/2026 ESCRITO: AUTO FINAL</t>
  </si>
  <si>
    <t>SE NOTIFICA A CLIENTE EN SU VIVIENDA 3 PISOS COLOR CREMA</t>
  </si>
  <si>
    <t>SALCEDO SUCA, CARLOS ALFONSO</t>
  </si>
  <si>
    <t>107038101003343467</t>
  </si>
  <si>
    <t>17,443,38</t>
  </si>
  <si>
    <t>03191-2025-20-1866-JP-CI-03</t>
  </si>
  <si>
    <t>03191-2025-0-1809-JP-CI-03</t>
  </si>
  <si>
    <t>SOBRE LAS ACCIONES Y DERECHOS QUE LE CORRESPONDEN AL TITULARSALCEDO SUCA CARLOS ALFONSO, DEL BIEN INMUEBLE UBICADO EN ASENTAMIEN O HUMANO LOS ROSALES MZ O LOTE 2, SAN JUAN DE MIRAFLORES, LIMA, LIMA, INSCRITO EN LA PARTIDA ELECTRÓNICA N° P03279629</t>
  </si>
  <si>
    <t>12/05/2026 ESCRITO: ABSUELVO TRASLADO</t>
  </si>
  <si>
    <t>SERVICIOS INTEGRALES GALINDO S.A.C</t>
  </si>
  <si>
    <t>107038101002761400</t>
  </si>
  <si>
    <t>70648.61</t>
  </si>
  <si>
    <t>13886-2024-53-1828-JR-CO-13</t>
  </si>
  <si>
    <t>22213-2024-0-1828-JR-CO-16</t>
  </si>
  <si>
    <t>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CAÑETE DE PROPIEDAD DE SU AVAL SU MAMA LIDIA HERIBERTA HERNANDEZ</t>
  </si>
  <si>
    <t>30/04/2026 RES 04: NOTIFIQUE SE A LOS AVALES</t>
  </si>
  <si>
    <t>SILVA PANDURO, KENNETT ALEXIS</t>
  </si>
  <si>
    <t>107038101003052595</t>
  </si>
  <si>
    <t>34,285.67</t>
  </si>
  <si>
    <t>01421-2025-0-1820-JP-CI-04</t>
  </si>
  <si>
    <t>29/05/2026 RES 03: CONSENTIDO EL AUTO FINAL</t>
  </si>
  <si>
    <t>TOLENTINO CALLUPE, ROBERTO JUAN</t>
  </si>
  <si>
    <t>107038101002171069</t>
  </si>
  <si>
    <t>23809.41</t>
  </si>
  <si>
    <t>02101-2023-0-1809-JP-CI-04</t>
  </si>
  <si>
    <t>02/07/2026 RES 05: SOBRECARTESE A LAS PARTES</t>
  </si>
  <si>
    <t>TORRES TECCO, ALBERT ELEADES</t>
  </si>
  <si>
    <t>107038101002145494</t>
  </si>
  <si>
    <t>21072.94</t>
  </si>
  <si>
    <t>-</t>
  </si>
  <si>
    <t>00224-2025-0-1820-JP-CI-04</t>
  </si>
  <si>
    <t>02/06/2026 RES 09: AUTO FINAL</t>
  </si>
  <si>
    <t>TOTAL TRADE TOPACIO S.A.C.</t>
  </si>
  <si>
    <t>107038101002700665</t>
  </si>
  <si>
    <t>19931.29</t>
  </si>
  <si>
    <t>03892-2023-99-1809-JP-CI-03</t>
  </si>
  <si>
    <t>03892-2023-0-1809-JP-CI-03</t>
  </si>
  <si>
    <t>ASOCIACION DE VIVIENDA URBANIZADORA SAN ROQUE MZ J LOTE 17 UNIDAD INMOBILIARIA A, que se encuentra especificado en Certificado Literal con número de partida P01372920 (TITULO 2023-2927902)</t>
  </si>
  <si>
    <t>11/02/2026 ESCRITO: SOLICITO SE DESIGNE PERITOS</t>
  </si>
  <si>
    <t>SE NOTIFICA A CLIENTE EN SU VIVIENDA EDIFICIO 12 PISOS COLOR CREMA</t>
  </si>
  <si>
    <t>107038101002712327</t>
  </si>
  <si>
    <t>23608.02</t>
  </si>
  <si>
    <t>03245-2023-44-1809-JP-CI-05</t>
  </si>
  <si>
    <t>03245-2023-0-1809-JP-CI-05</t>
  </si>
  <si>
    <t>ASOCIACION DE VIVIENDA URBANIZADORA SAN ROQUE MZ J LOTE 17 UNIDAD INMOBILIARIA A, que se encuentra especificado en Certificado Literal con número de partida P01372920</t>
  </si>
  <si>
    <t>11/02/2026 ESCRITO: AUTO FINAL</t>
  </si>
  <si>
    <t>UNION PACIFIC INTERNATIONAL S.A.C</t>
  </si>
  <si>
    <t>107038101002206666</t>
  </si>
  <si>
    <t>236578.28</t>
  </si>
  <si>
    <t>11118-2024-15-1828-JR-CO-12</t>
  </si>
  <si>
    <t>11118-2024-0-1817-JR-CO-12</t>
  </si>
  <si>
    <t>INMUEBLE DE 2 PISOS CALLE MARTIN DE PORRES NUMERO 125-129-135, URBANIZACIÓN DEL FUNDO CONDE DE SAN ISIDRO, DISTRITO DE SAN ISIDRO, LIMA PARTIDA 07030893</t>
  </si>
  <si>
    <t>14/04/2026 ESCRITO: ABSUELVO TRASLADO</t>
  </si>
  <si>
    <t>VEGA POSADA, HERNAN ALEJANDRO</t>
  </si>
  <si>
    <t>107038101002409451</t>
  </si>
  <si>
    <t>122,098.48</t>
  </si>
  <si>
    <t>09385-2025-0-1828-JR-CO-15</t>
  </si>
  <si>
    <t>15/05/2026 ESCRITO: AUTO FINAL</t>
  </si>
  <si>
    <t>SE NOTIFICA A CLIENTE EN SU VIVIENDA CASA 2 PISOS COLOR ROJO</t>
  </si>
  <si>
    <t>AG. SAN BORJA</t>
  </si>
  <si>
    <t>ALEJO SALVADOR, WALTER</t>
  </si>
  <si>
    <t>107147101000962278</t>
  </si>
  <si>
    <t>29,560.62</t>
  </si>
  <si>
    <t>01391-2025-0-1820-JP-CI-03</t>
  </si>
  <si>
    <t>ANCHILLO MORALES, LUCINDA</t>
  </si>
  <si>
    <t>107147101000922921</t>
  </si>
  <si>
    <t>31,681,11</t>
  </si>
  <si>
    <t>05080-2024-2-1866-JP-CI-02</t>
  </si>
  <si>
    <t>21/05/2026 ESCRITO: SOLICITO HABILITACION</t>
  </si>
  <si>
    <t>05080-2024-0-1809-JP-CI-02</t>
  </si>
  <si>
    <t>1 RANGO LA TOTALIDAD DEL INMUEBLE DEL FIADOR ANCHILLO MORALES NORCA, UBICADO EN MZ E LT 9 AA.HH 8 DE DICIEMBRE VENTANILLA, CALLAO, LIMA. P: P52029015</t>
  </si>
  <si>
    <t>ASTO BARRA, EDGAR</t>
  </si>
  <si>
    <t>107147101000528783</t>
  </si>
  <si>
    <t>37312.03</t>
  </si>
  <si>
    <t>16692-2024-88-1828-JR-CO-15</t>
  </si>
  <si>
    <t>16692-2024-0-1817-JR-CO-15</t>
  </si>
  <si>
    <t>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t>
  </si>
  <si>
    <t>30/03/2026 ESCRITO: ADJUNTO ARANCEL DE EXHORTO</t>
  </si>
  <si>
    <t>BS TELECOM PERU S.A.C</t>
  </si>
  <si>
    <t>107147101000225339</t>
  </si>
  <si>
    <t>58,076.60</t>
  </si>
  <si>
    <t>09271-2023-0-1817-JR-CO-09</t>
  </si>
  <si>
    <t>16/03/2026 ESCRITO: REQUERIMIENTO DE PAGO</t>
  </si>
  <si>
    <t>CANACHO ZEVALLOS, ROBERTO LULLY</t>
  </si>
  <si>
    <t>107147101001237951</t>
  </si>
  <si>
    <t>47,774.13</t>
  </si>
  <si>
    <t>05069-2025-22-1866-JP-CI-02</t>
  </si>
  <si>
    <t>05069-2025-0-1809-JP-CI-02</t>
  </si>
  <si>
    <t>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t>
  </si>
  <si>
    <t>12/05/2026: RES 1 ADMITIDA LA DEMANDA</t>
  </si>
  <si>
    <t>CHAVARRIA PONCE, SEGUNDINA MARILUZ</t>
  </si>
  <si>
    <t>107147101000210969</t>
  </si>
  <si>
    <t>22,028.53</t>
  </si>
  <si>
    <t>LIMA ESTE</t>
  </si>
  <si>
    <t>JUZGADO DE PAZ LETRADO SAN JUAN DE LURIGANCHO</t>
  </si>
  <si>
    <t>03828-2023-1-3207-JP-CI-02</t>
  </si>
  <si>
    <t>03828-2023-0-3207-JP-CI-02</t>
  </si>
  <si>
    <t>ACCIONES Y DERECHOS DEL INMUEBLE QUE LE CORRESPONDEN AL CONYUGE TORRES CAYOTOPA, JOSE ALEX UBICADO EN PROGRAMA CIUDAD MARISCAL CAECERES, SECTOR II MZ.B18 LOTE 09, GRUPO RESIDENCIAL B, BARRIO 1, DISTRITO DE SAN JUAN DE LURIGANCHO,LIMA,LIMA INSCRITO EN LA PARTIDA Nº P02094838</t>
  </si>
  <si>
    <t>26/8/2025 RES 09: CONSENTIDO EL AUTO FINAL</t>
  </si>
  <si>
    <t>CPS PERU S.A.C.</t>
  </si>
  <si>
    <t>107147101000208104</t>
  </si>
  <si>
    <t>269,979.70</t>
  </si>
  <si>
    <t>8 J CIVIL COMERCIAL</t>
  </si>
  <si>
    <t>15211-2023-0-1817-JR-CO-08</t>
  </si>
  <si>
    <t>22/01/2026 ESCRITO: ADJUNTO LIQUIDACION Y OTROS</t>
  </si>
  <si>
    <t>SE NOTIFICA A CLIENTE EN SU VIVIENDA DE AVAL EDIFICIO 6 PISOS COLOR PLOMO</t>
  </si>
  <si>
    <t>DIVERSA HUALLAGA S.A.C.</t>
  </si>
  <si>
    <t>107147101000202184</t>
  </si>
  <si>
    <t>135,350.06</t>
  </si>
  <si>
    <t>09278-2023-0-1817-JR-CO-15</t>
  </si>
  <si>
    <t>ESENARRO SEGURA, ROXANA CRISOLOGA</t>
  </si>
  <si>
    <t>107147101000226603</t>
  </si>
  <si>
    <t>59,543.01</t>
  </si>
  <si>
    <t>2 JUZGADO CIVIL HUAYCAN</t>
  </si>
  <si>
    <t>02181-2023-67-3201-JR-CI-01</t>
  </si>
  <si>
    <t>02181-2023-0-3201-JR-CI-01</t>
  </si>
  <si>
    <t>50% DE ACCIONES Y DERECHOS SOBRE EL INMUEBLE DEL CUAL ES CO-PROPIETARIA LA TITULAR, ESENARRO SEGURA ROXANA CRISOLOGA, NMRO DE PARTIDA 70263577, CON DIRECCIÓN MANZANA T LOTE 12 URBANIZACIÓN CASA HUERTA VIRGEN DE LAS MERCEDES, VENTANILLA</t>
  </si>
  <si>
    <t>27/05/2025RES 03: AUTO FINAL</t>
  </si>
  <si>
    <t>ESPINOZA HUARACA, JHON</t>
  </si>
  <si>
    <t>107147101001195960</t>
  </si>
  <si>
    <t>CONTRATO PRIVADO DE MUTUO CON GARANTIA MOBILIARIA VEHICULA</t>
  </si>
  <si>
    <t>39,911.28</t>
  </si>
  <si>
    <t>1° JUZGADO CIVIL - COMERCIAL</t>
  </si>
  <si>
    <t>INCAUTACIÓN DE BIEN MUEBLE AFECTO EN GARANTÍA MOBILIARIA</t>
  </si>
  <si>
    <t>30980-2025-0-1828-JR-CO-01</t>
  </si>
  <si>
    <t>TOTALIDAD DE vehículo de placa de rodaje N.° A3H488, marca HYUNDAI, modelo TUCSON, año de modelo DOS MIL ONCE, Partida Registral N.° 51892012 del Registro de Propiedad Vehicular de la Zona Registral IX – Sede Lima.</t>
  </si>
  <si>
    <t>GREEN KEEPER PERU S.A.C.</t>
  </si>
  <si>
    <t>107147101001144350</t>
  </si>
  <si>
    <t>72,949.86</t>
  </si>
  <si>
    <t>10º JUZGADO CIVIL-COMERCIAL</t>
  </si>
  <si>
    <t>26494-2025-0-1828-JR-CO-10</t>
  </si>
  <si>
    <t>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t>
  </si>
  <si>
    <t>24/04/2026 RES 05: AUTO FINAL (REMATE DEL BIEN)</t>
  </si>
  <si>
    <t>GRUPO OREJUELA S.A.C.</t>
  </si>
  <si>
    <t>107147101000924529</t>
  </si>
  <si>
    <t>25439.59</t>
  </si>
  <si>
    <t>00041-2025-94-1866-JP-CI-02</t>
  </si>
  <si>
    <t>0041-2025-0-1809-JP-CI-02</t>
  </si>
  <si>
    <t>LA TOTALIDAD DEL BIEN INMUEBLE QUE LE CORRESPONDE AL FIADOR UBICADO EN ASENTAMIENTO HUMANO PROYECTO INTEGRAL PAMPA SAN JUAN DE AMANCAES PARTE ALTA MZ L LT 12 SECTOR 14 DE JUNIO, RIMA, LIMA PARTIDA: P02191108</t>
  </si>
  <si>
    <t>27/04/2026 ESCRITO: SOLICITO HABILITACION</t>
  </si>
  <si>
    <t>GRUPO PLAZA RIBEYROS EMPRESA INDIVIDUAL DE RESPONSABILIDAD LIMITADA</t>
  </si>
  <si>
    <t>107147101000721512</t>
  </si>
  <si>
    <t>44,293.48</t>
  </si>
  <si>
    <t>04956-2025-15-1866-JP-CI-02</t>
  </si>
  <si>
    <t>04956-2025-0-1809-JP-CI-02</t>
  </si>
  <si>
    <t>TOTALIDAD DEL BIEN INMUEBLE QUE LE CORRESPONDEN A LOS FIADORES OBANDO ROMERO, JORGE ENRIQUE Y VALENZUELA PAZ, REGINA MIRTHA, UBICADO EN DEPARTAMENTO "G" AVENIDA JOSE ARNALDO MARQUEZ Nº 867, JESUS MARIA, LIMA, LIMA INSCRITO EN LA PARTIDA ELECTRONICA Nº 07065029 DEL REGISTRO DE PROPIEDAD INMUEBLE</t>
  </si>
  <si>
    <t xml:space="preserve">02/07/2026 RES 02: PIDASE EL AUTO FINAL A SU  DEVIDO TIEMPO </t>
  </si>
  <si>
    <t>HN EIRL</t>
  </si>
  <si>
    <t>107147101000214400</t>
  </si>
  <si>
    <t>49,579,80</t>
  </si>
  <si>
    <t>00456-2024-62-1820-JP-CI-03</t>
  </si>
  <si>
    <t>00456-2024-0-1802-JP-CI-03</t>
  </si>
  <si>
    <t>LAS ACCIONES Y DERECHOS DEL FIADOR NUÑEZ MEJIA HECTOR ARMANDO, P: 46529871, UBICACION: FINCA LEVANTADA EN LT N 10 DE LA MZ 3 - R CON FRENTE A LA CALLE LOS PARACAS, AGRUPAMIENTO RESIDENCIAL SALAMANCA TERCERA ETAPA ATE, LIMA</t>
  </si>
  <si>
    <t>25/05/2026 RES 05: SE ELEVA A SUPERIOR JERARQUICO JUZGADO ESPECIALIZADO EN CIVIL DE LA CORTE SUPERIOR DE JUSTICIA DE LIMA LA APELACION</t>
  </si>
  <si>
    <t>SE NOTIFICA A CLIENTE EN SU VIVIENDA AVAL PUERTA DE MADERA 1 PISO</t>
  </si>
  <si>
    <t>INGA SALAS, SHIRLEY KARINA</t>
  </si>
  <si>
    <t>107147101000804641</t>
  </si>
  <si>
    <t>24,810,39</t>
  </si>
  <si>
    <t>01038-2025-18-1866-JP-CI-03</t>
  </si>
  <si>
    <t>01038-2025-0-1809-JP-CI-03</t>
  </si>
  <si>
    <t>LA TOTALIDAD DEL INMUEBLE CORRESPONDIENTE AL FIADOR HUARANGA PALACIOS ROSA ISABEL UBICADO EN POSESION INFORMAL ASOCIACION DE VIVIENDA ANEXO CANTAGALLO MZ F LT 2, IMPERIAL, CAÑETE, LIMA CON PARTIDA P17066434</t>
  </si>
  <si>
    <t>INVERSIONES SHIRLEY DD EIRL</t>
  </si>
  <si>
    <t>107147101000215035</t>
  </si>
  <si>
    <t>45,692.19</t>
  </si>
  <si>
    <t>02919-2025-82-1866-JP-CI-03</t>
  </si>
  <si>
    <t>02919-2025-0-1809-JP-CI-03</t>
  </si>
  <si>
    <t>LAS ACCIONES Y DERECHOS QUE LE CORRESPONDEN AL FIADOR DIAZ DOMINGUEZ MARIA SIRLE, DEL BIEN INMUEBLE UBICADO EN LOTE 30 DE LA MANZANA I UBICADO CON FRENTE AL JIRON MELITON CARBAJAL, URBANIZACION VALDIVIESO, ATE, LIMA, LIMA, PARTIDA ELECTRÓNICA N° 44723972</t>
  </si>
  <si>
    <t>16/03/2026 ESCRITO: AUTO FINAL</t>
  </si>
  <si>
    <t>MENDOZA SALCEDO, APRIL MILUSKA</t>
  </si>
  <si>
    <t>107147101000229395</t>
  </si>
  <si>
    <t>17,899.06</t>
  </si>
  <si>
    <t>00345-2023-93-3005-JP-CI-01</t>
  </si>
  <si>
    <t>00345-2023-0-3005-JP-CI-01</t>
  </si>
  <si>
    <t>TOTALIDAD VEHICULAR DE PLACA B3F785, P:52273448, DE MENDOZA SALCEDO APRIL MILUSKA</t>
  </si>
  <si>
    <t>30/10/2024RES 06: CONSENTIDA EL AUTO FINAL</t>
  </si>
  <si>
    <t>NIEVES CABALLERO, JORGE ESTEBAN</t>
  </si>
  <si>
    <t>107147101000607050</t>
  </si>
  <si>
    <t>19,428.05</t>
  </si>
  <si>
    <t>00925-2023-76-3004-JP-CI-01</t>
  </si>
  <si>
    <t>00925-2023-0-3004-JP-CI-01</t>
  </si>
  <si>
    <t>TOTALIDAD DEL INMUEBLE DE PROPIEDAD DEL FIADOR SOLIDARIO CABALLERO RAMIREZ REYNA ISABEL UBICADO EN AAHH CHAVIN DE HUANTAR MZ B LOTE 15 DISTRITO DE VILLA EL SALVADOR PE P03277971</t>
  </si>
  <si>
    <t>24/03/2026 RES 05: SE DICTA QUE SE APERSONEN LOS PERITOS</t>
  </si>
  <si>
    <t>ORIHUELA BARZOLA, DAVID DANIEL</t>
  </si>
  <si>
    <t>107147101000616654</t>
  </si>
  <si>
    <t>23,018,52</t>
  </si>
  <si>
    <t>00980-2024-35-1820-JP-CI-03</t>
  </si>
  <si>
    <t>00980-2024-0-1802-JP-CI-03</t>
  </si>
  <si>
    <t>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t>
  </si>
  <si>
    <t>14/01/2025RES 02: AUTO FINAL</t>
  </si>
  <si>
    <t>SE NOTIFICA A CLIENTE EL RECORDATORIO DE SU PAGO PUNTUAL DE SU CONVENIO. SE COMPROMETE A PAGAR SU CUO</t>
  </si>
  <si>
    <t>ORIHUELA BARZOLA, ISAIAS JOEL</t>
  </si>
  <si>
    <t>107147101000714394</t>
  </si>
  <si>
    <t>24,085,20</t>
  </si>
  <si>
    <t>00457-2024-69-1820-JP-CI-03</t>
  </si>
  <si>
    <t>00457-2024-0-1802-JP-CI-03</t>
  </si>
  <si>
    <t>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t>
  </si>
  <si>
    <t>28/05/2026 ESCRITO: INICIO DE EJECUCION FORZADA</t>
  </si>
  <si>
    <t>OSCCO BULEJE, TRINIDAD MARIA</t>
  </si>
  <si>
    <t>107147101000078511</t>
  </si>
  <si>
    <t>17,746.67</t>
  </si>
  <si>
    <t>2 JUZGADO DE PAZ LETRADO STA ANITA</t>
  </si>
  <si>
    <t>03104-2023-1-3208-JP-CI-02</t>
  </si>
  <si>
    <t>03104-2023-0-3208-JP-CI-02</t>
  </si>
  <si>
    <t>TOTALIDAD DEL INMUEBLE UBICADO EN UNIDAD INMOBILIARIA NUMERO DOS CALLE CORICANCHA MANZANA A –U LT. 6 SUB LOTE 6 A, URBANIZACION LA UNIVERSAL PRIMERA Y SEGUNDA ETAPA, DISTRITO DE SANTA ANITA, PROVINCIA Y DEPARTAMENTO DE LIMA, INMUEBLE INSCRITO EN LA PARTIDA ELECTRONICA N° 15408471</t>
  </si>
  <si>
    <t>31/01/2025ESCRITO: SOLICITAMOS USO DE LA PALABRA PARA VISTA DE LA CAUSA</t>
  </si>
  <si>
    <t>SE NOTIFICA A CLIENTE EN SU VIVIENDA CASA 2 PISOS COLOR BLANCO SE NOTIFICA EMBARGO</t>
  </si>
  <si>
    <t>QUILCA CCENTE, ELZA</t>
  </si>
  <si>
    <t>107147101000587158</t>
  </si>
  <si>
    <t>29,911.93</t>
  </si>
  <si>
    <t>00219-2024-98-1820-JP-CI-03</t>
  </si>
  <si>
    <t>00219-2024-0-1802-JP-CI-03</t>
  </si>
  <si>
    <t>TOTALIDAD DE ACCIONES Y DERECHOS DEL BIEN INMUEBLE DEL FIADOR QUIROZ SILVA CIRILO, CON NMRO DE PARTIDA 11024683, UBICADO EN PARC. 655165 U.C.8_5208800_655165, PREDIO: LOS TRES HERMANOS I - SECTOR: SAN JUAN, CENTRO AUTIKI, PICHANAKI, CHANCHAMAYO, JUNIN.</t>
  </si>
  <si>
    <t>02/06/2026 ESCRITO: SOLICITO SE DESIGNEN PERITOS</t>
  </si>
  <si>
    <t>SE NOTIFICA A CLIENTE EN SU VIVIENDA 1 PISO LADRILLO SIN TARRAJEAR</t>
  </si>
  <si>
    <t>QUIROZ QUILCA, KATTY YAKI</t>
  </si>
  <si>
    <t>107147101000896367</t>
  </si>
  <si>
    <t>50,106.04</t>
  </si>
  <si>
    <t>00223-2024-32-1820-JP-CI-03</t>
  </si>
  <si>
    <t>00223-2024-0-1802-JP-CI-03</t>
  </si>
  <si>
    <t>02/06/2026 ESCRITO: INICIO DE EJECUCION FORZADA</t>
  </si>
  <si>
    <t>REFULIO CUYUTUPA, EDWIN ANTONIO</t>
  </si>
  <si>
    <t>107147101000572728</t>
  </si>
  <si>
    <t>12,341.13</t>
  </si>
  <si>
    <t>5 JUZGADO DE PAZ LETRADO MIXTO LA VICTORIA Y SAN LUIS</t>
  </si>
  <si>
    <t>00018-2024-7-1814-JP-CO-05</t>
  </si>
  <si>
    <t>00018-2024-0-1814-JP-CO-05</t>
  </si>
  <si>
    <t>TOTALIDAD DEL INMUEBLE DE PROPIEDAD DEL TITULAR UBICADO EN SECCION INMOBILIARIA N°3 OFICINA, PRIMERA PISO JIRON FELIPE SANTIAGO CRESPO 635 INTERIOR 103 URB SAN LUIS DISTRITO DE SAN LUIS PE 12078471</t>
  </si>
  <si>
    <t>16/03/2026 ESCRITO: SOLICITO DESIGNACION DE PERITOS</t>
  </si>
  <si>
    <t>SE NOTIFICA A CLIENTE EN SU VIVIENDA Y PUESTO DE VENTA DE CARNE EN MERCADO DE SAN BORJA</t>
  </si>
  <si>
    <t>SANCHEZ JARA, RUTH</t>
  </si>
  <si>
    <t>107147101000766682</t>
  </si>
  <si>
    <t>24,110.07</t>
  </si>
  <si>
    <t>04329-2025-73-1866-JP-CI-02</t>
  </si>
  <si>
    <t>04329-2025-0-1809-JP-CI-02</t>
  </si>
  <si>
    <t>TOTALIDAD DEL BIEN INMUEBLE, QUE LE CORRESPONDE AL FIADOR SANCHEZ JARA, MARITZA UBICADO EN ASENTAMIENTO HUMANO MARGINAL ASOC.PRO-VIVIENDO SICUANI MZ.D LOTE 18, DISTRITO DE ATE, LIMA, LIMA INSCRITO EN LA PARTIDA ELECTRONICA Nº P02009698</t>
  </si>
  <si>
    <t>28/05/2026 ESCRITO; AUTO FINAL</t>
  </si>
  <si>
    <t>SYLCOMTEL DATA PERU S.A.C</t>
  </si>
  <si>
    <t>107147101000256363</t>
  </si>
  <si>
    <t>158,525.01</t>
  </si>
  <si>
    <t>09272-2023-0-1817-JR-CO-06</t>
  </si>
  <si>
    <t xml:space="preserve">04/06/2026 RES 07: CONSENTIDO EL AUTO FINAL </t>
  </si>
  <si>
    <t>TORRES CARLOS, MIGUEL ANGEL</t>
  </si>
  <si>
    <t>107147101001311572</t>
  </si>
  <si>
    <t>46,294.45</t>
  </si>
  <si>
    <t>01552-2025-0-1820-JP-CI-03</t>
  </si>
  <si>
    <t>VALLADARES VILLALBA, NANCY</t>
  </si>
  <si>
    <t>107147101000732708</t>
  </si>
  <si>
    <t>24,106.72</t>
  </si>
  <si>
    <t>03411-2025-76-1866-JP-CI-02</t>
  </si>
  <si>
    <t>03411-2025-0-1809-JP-CI-02</t>
  </si>
  <si>
    <t>LA TOTALIDAD DEL BIEN QUE LE CORRESPONDEN AL FIADOR GARIBAY VALLADARES ROCIO MILAGROS;DEL BIEN INMUEBLE UBICADO EN ASOCIACION DE VIVIENDA SANTA MARU MZ R LOTE 2, EL AGUSTINO, LIMA, LIMA, INSCRITO EN LA PARTIDA ELECTRÓNICA N° P02190724 DEL REGISTRO DE PROPIEDAD INMUEBLE.</t>
  </si>
  <si>
    <t xml:space="preserve">30/06/2026 RES 03: CONCEDEN EL CONVENIO POR EL TIEMPO DETERMINADO </t>
  </si>
  <si>
    <t>VELASCO BLANCO, JOSE MIGUEL</t>
  </si>
  <si>
    <t>107147101001231579</t>
  </si>
  <si>
    <t>50,001.70</t>
  </si>
  <si>
    <t>21679-2025-0-1828-JR-CO-03</t>
  </si>
  <si>
    <t>HABILITACION URBANA LOTIZACION ALMIRANTE MIGUEL GRAU MZ. A LOTE 3, DISTRITO DE PISCO, PROVINCIA DE PISCO, ICA, CON PARTIDA ELECTRONICA Nº P22000029 DEL REGISTRO DE PROPIEDAD INMUEBLE DE ICA, HIPOTECADO A NUESTRO FAVOR POR LA SUMA ASCENDENTE A S/. 180,000.00 SOLES</t>
  </si>
  <si>
    <t>13/06/2026 RES 02: ADMITIDA LA DEMANDA</t>
  </si>
  <si>
    <t>VERGARA SURCO, YRENE</t>
  </si>
  <si>
    <t>107147101000948498</t>
  </si>
  <si>
    <t>91,439.85</t>
  </si>
  <si>
    <t>15º JUZGADO CIVIL-COMERCIAL</t>
  </si>
  <si>
    <t>26850-2025-0-1828-JR-CO-15</t>
  </si>
  <si>
    <t>LA TOTALIDAD DEL BIEN INMUEBLE QUE LE CORRESPONDE AL OBLIGADO PRINCIPAL UBICADO EN ASENTAMIENTO HUMANO NOVENO SECTOR - OASIS DE VILLA MZ. A LOTE 20 SECTOR OASIS DE VILLA, GRUPO RESIDENCIAL 2, VILLA EL SALVADOR, LIMA, LIMA</t>
  </si>
  <si>
    <t>10/04/2026 RES 01: ADMITIDA LA DEMANDA</t>
  </si>
  <si>
    <t>ZARAZU ZAVALETA, MIRNA ROSARIO</t>
  </si>
  <si>
    <t>107147101001315819</t>
  </si>
  <si>
    <t>56,507.34</t>
  </si>
  <si>
    <t>13° JUZGADO CIVIL COMERCIAL</t>
  </si>
  <si>
    <t>28830-2025-0-1828-JR-CO-13</t>
  </si>
  <si>
    <t>ACCIONES Y DERECHO QUE RECAEN EN 43.33 % QUE LE CORRESPONDE AL FIADOR MILTON GERARDO LOZADA RAMIREZ DEL BIEN INMUEBLE UBICADO EN PUEBLO JOCEN NUEVA ESPERANZA MZ. 80 SUB LOTE 13-A, DISTRITO DE VILLA MARIA DEL TRIUNFO, LIMA, LIMA INSCRITO EN LA PARTIDA N° P03347559</t>
  </si>
  <si>
    <t xml:space="preserve">30/06/2026 RES 03: SE APERSONA ABOGADO DEL DEMANDANTE </t>
  </si>
  <si>
    <t>AG. SAN GABRIEL</t>
  </si>
  <si>
    <t>ALALUNA RUIZ, CARMEN SARA</t>
  </si>
  <si>
    <t>107172101000707697</t>
  </si>
  <si>
    <t>37312.4</t>
  </si>
  <si>
    <t>00622-2025-10-1866-JP-CI-02</t>
  </si>
  <si>
    <t>00622-2025-0-1809-JP-CI-02</t>
  </si>
  <si>
    <t>LA TOTALIDAD DEL BIEN INMUEBLE QUE LE CORRESPONDE AL TITULAR ALALUNA RUIZ CARMEN SARA UBICADO EN AA. HH REPÚBLICA DEMOCRÁTICA ALEMANA MZ. H LT. 23 - ZONA SAN JUAN DE MIRAFLORES, DISTRITO DE SAN JUAN DE MIRAFLORES, PROVINCIA Y DEPARTAMENTO DE LIMA INSCRITA EN LA PARTIDA P03119087</t>
  </si>
  <si>
    <t>18/06/2026 ESCRITO: AUTO FINAL</t>
  </si>
  <si>
    <t>SE NOTIFICA A CLIENTE EN SU VIVIENDA CASA 1 PISO COLOR VERDE SE DEJA BAJO PUERTA.</t>
  </si>
  <si>
    <t>ALMEIDA FARFAN, LILIANA</t>
  </si>
  <si>
    <t>107172101000923994</t>
  </si>
  <si>
    <t>21,169.18</t>
  </si>
  <si>
    <t>04396-2025-98-1866-JP-CI-02</t>
  </si>
  <si>
    <t>04396-2025-0-1809-JP-CI-02</t>
  </si>
  <si>
    <t>TOTALIDAD DEL BIEN INMUEBLE QUE LE CORRESPONDE AL TITULAR ALMEIDA FARFAN, LILIANA UBICADO EN PROYECTO HABITACION URBANA PROGRAMA RESIDENCIAL SAN FELIPE DE COPACABANA MZ I LOTE 15, PUENTE PIEDRA, LIMA, LIMA INSCRITO EN LA PARTIDA ELECTRONICA Nº P01340207</t>
  </si>
  <si>
    <t>ANAYA VALVERDE, RICARDINA</t>
  </si>
  <si>
    <t>107172101001170800</t>
  </si>
  <si>
    <t>28,822.82</t>
  </si>
  <si>
    <t>01551-2025-0-1820-JP-CI-02</t>
  </si>
  <si>
    <t>BAYONA ROJAS, DANIELA VANESSA</t>
  </si>
  <si>
    <t>107172101001139504</t>
  </si>
  <si>
    <t>9,103,46</t>
  </si>
  <si>
    <t>02628-2025-85-1866-JP-CI-02</t>
  </si>
  <si>
    <t>02628-2025-0-1809-JP-CI-02</t>
  </si>
  <si>
    <t>LA TOTALIDAD QUE LE CORRESPONDE AL TITULAR BAYONA ROJAS DANIELA VANESSA, UBICADO EN AA.HH UNIDOS MZ B LT 3, SECTOR SAN JOSE OBRERO, VILLA MARIA DEL TRIUNFO, LIMA, LIMA INSCRITO EN LA PARTIDA P03185805</t>
  </si>
  <si>
    <t>SE NOTIFICA A CLIENTE EN SU VIVIENDA EN JOSE GALVEZ 1 PISO PORTON VERDE TIENDA. ATIRENDE MAMÁ Y MEN</t>
  </si>
  <si>
    <t>BUSTAMANTE GUTIERREZ, ANGIE STEPHANY</t>
  </si>
  <si>
    <t>107172101000927126</t>
  </si>
  <si>
    <t>23,452.73</t>
  </si>
  <si>
    <t>13546-2025-0-1828-JR-CO-03</t>
  </si>
  <si>
    <t>BIEN INMUEBLE UBICADO EN ASENTAMIENTO HUMANO VILLA MARIA DEL TRIUNFO MZ F17B LOTE 2A SECTOR ASOCIACION CENTRAL UNIFICADA INSCRITA EN LA PARTIDA P03252148</t>
  </si>
  <si>
    <t>07/10/2025ESCRITO: PRECISO LIQUIDACION Y LA CALIDAD DE LAS PARTES ( SUBSANADO ANTES DE SER NOTIFICADOS)</t>
  </si>
  <si>
    <t>SE NOTIFICA A CLIENTE EN SU VIVIENDA 3 PISOS COLOR BLANCO PRIMER PISO Y RESTO SIN TARRAJEAR</t>
  </si>
  <si>
    <t>CARBAJAL SULLCA, SAUDINA</t>
  </si>
  <si>
    <t>107172101001054318</t>
  </si>
  <si>
    <t>50,000.00</t>
  </si>
  <si>
    <t>01531-2025-0-1820-JP-CI-04</t>
  </si>
  <si>
    <t>25/03/2026 ESCRITO: SOLICITO HABILITACION</t>
  </si>
  <si>
    <t>CAYLLAHUA CANCHASTO, PEDRO ALEX</t>
  </si>
  <si>
    <t>107172101000794158</t>
  </si>
  <si>
    <t>17,280,36</t>
  </si>
  <si>
    <t>03430-2025-74-1866-JP-CI-02</t>
  </si>
  <si>
    <t>03430-2025-0-1809-JP-CI-02</t>
  </si>
  <si>
    <t>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t>
  </si>
  <si>
    <t>CHAHUA SALAS, TATIANA ISABEL</t>
  </si>
  <si>
    <t>107172101001040159</t>
  </si>
  <si>
    <t>25,463.60</t>
  </si>
  <si>
    <t>JUZGADO DE PAZ LETRADO DE SAN JUAN DE MIRAFLORES</t>
  </si>
  <si>
    <t>01132-2024-79-3001-JP-CI-01</t>
  </si>
  <si>
    <t>01132-2024-0-3001-JP-CI-01</t>
  </si>
  <si>
    <t>TOTALIDAD DEL BIEN INMUEBLE QUE LE CORRESPONDEN A LOS FIADORES: PALOMINO GALVEZ, EMILIANO Y SALAS CARDENAS, JUANA UBICADO EN ASENTAMIENTO HUMANO VILLA DEL SUR, MZ. H LOTE 8, DISTRITO DE SAN JUAN DE MIRAFLORES, LIMA,LIMA INSCRITO EN LA PARTIDA Nº P03139268</t>
  </si>
  <si>
    <t>13/04/2026 RES 02:AUTO FINAL</t>
  </si>
  <si>
    <t>SE NOTIFICA A CLIENTE EN SU VIVIENDA 3 PISOS TARRAJEADO SIN PINTAR</t>
  </si>
  <si>
    <t>CRUZ CCOILLO, ARNALDO</t>
  </si>
  <si>
    <t>107172101000547718</t>
  </si>
  <si>
    <t>27,331.11</t>
  </si>
  <si>
    <t>00099-2024-0-3002-JP-CI-02</t>
  </si>
  <si>
    <t>SE NOTIFICA A CLIENTE EN SU VIVIENDA CASA 3 PISOS SIN TARRAJEAR</t>
  </si>
  <si>
    <t>107172101000658098</t>
  </si>
  <si>
    <t>06/11/2025ESCRITO : FORMALIZACION DE DEMANDA Y SOLICITO VARIACION DE EMBARGO A RETENCION POR VENTA</t>
  </si>
  <si>
    <t>CULQUI ZEVALLOS, DANNA YAMILET</t>
  </si>
  <si>
    <t>107172101000510433</t>
  </si>
  <si>
    <t>34,887.86</t>
  </si>
  <si>
    <t>29910-2025-0-1828-JR-CO-07</t>
  </si>
  <si>
    <t>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t>
  </si>
  <si>
    <t>16/06/2026 RES 03: ADMIDO CON LA CORRECION SOLICITADA</t>
  </si>
  <si>
    <t>SE NOTIFICA A CLIENTE EN SU VIVIENDA 2 PISOS COLOR BLANCO</t>
  </si>
  <si>
    <t>CUSIPUMA CAMPOS, NILO MARTIN</t>
  </si>
  <si>
    <t>107172101001182239</t>
  </si>
  <si>
    <t>18,500.00</t>
  </si>
  <si>
    <t>01550-2025-0-1820-JP-CI-04</t>
  </si>
  <si>
    <t>12/06/2026 ESCRITO: ABSUELVOTRASLADO</t>
  </si>
  <si>
    <t>DE LA CRUZ QUISPE, JOSE LUIS</t>
  </si>
  <si>
    <t>107172101000712239</t>
  </si>
  <si>
    <t>37,463.48</t>
  </si>
  <si>
    <t>05179-2025-77-1866-JP-CI-02</t>
  </si>
  <si>
    <t>05179-2025-0-1809-JP-CI-02</t>
  </si>
  <si>
    <t>18/06/2026 RES 01: ADMITIDA LA FORMALIZACION</t>
  </si>
  <si>
    <t>DIAZ QUISPE, ROSA MARGARITA</t>
  </si>
  <si>
    <t>107172101001063463</t>
  </si>
  <si>
    <t>31,140.25</t>
  </si>
  <si>
    <t>JUZGADO DE PAZ LETRADO CIVIL DE VILLA MARIA DEL TRIUNFO</t>
  </si>
  <si>
    <t>01003-2024-35-3001-JP-CI-01</t>
  </si>
  <si>
    <t>01003-2024-0-3001-JP-CI-01</t>
  </si>
  <si>
    <t>TOTALIDAD DEL BIEN QUE LE CORRESPONDE AL TITULAR DIAZ QUISPE, ROSA MARGARITA UBICADO EN PROGRAMA DE VIVIENDA CONJUNTA RESIDENCIAL SANTISIMO SALVADOR DE LAS PALMAS MZ. B LOTE 22 DISTRITO DE PACHACAMAC, LIMA,LIMA INSCRITO EN LA PARTIDA P03163979</t>
  </si>
  <si>
    <t>10/06/2026 RES 01: ADMITADA LA FORMALIZACION</t>
  </si>
  <si>
    <t>SE NOTIFICA A CLIENTE EN SU VIVIENDA CASA 1 PISO COLOR AMARILLO POR EL ULTIMO PARADERO DE LA 73 PAC</t>
  </si>
  <si>
    <t>ENCARNACION ACARO, YOHANNA PATRICIA</t>
  </si>
  <si>
    <t>107172101000853849</t>
  </si>
  <si>
    <t>9,475.28</t>
  </si>
  <si>
    <t>01648-2025-73-1866-JP-CI-03</t>
  </si>
  <si>
    <t>01648-2025-0-1809-JP-CI-03</t>
  </si>
  <si>
    <t>26/02/2026 RES 06: CONSENTIDO AUTO FINAL</t>
  </si>
  <si>
    <t>SE NOTIFICA A CLIENTE EN SU VIVIENDA CASA 2 PISOS COLOR ROSADO Y BEICHE SE NOTIFICA BAJO PUERTA</t>
  </si>
  <si>
    <t>FLORES CABANILLAS, DILMER</t>
  </si>
  <si>
    <t>107172101000450923</t>
  </si>
  <si>
    <t>21,673.02</t>
  </si>
  <si>
    <t>00554-2023-25-3001-JP-CI-01</t>
  </si>
  <si>
    <t>00554-2023-0-3001-JP-CI-01</t>
  </si>
  <si>
    <t>TOTALIDAD DEL BIEN INMUEBLE QUE LE CORRESPONDE AL FIADOR CABANILLAS VASQUEZ, GRACIELA UBICADO EN PUEBLO JOVEN VIRGEN DE LOURDES, MZ. Ñ LOTE 19, SECTOR LOS EUCALIPTOS, VILLA MARIA DEL TRIUNFO, LIMA,LIMA INSCRITO EN LA PARTIDA P03291377</t>
  </si>
  <si>
    <t>04/06/2026 RES 01: ADMISORIO</t>
  </si>
  <si>
    <t>SE NOTIFICA A CLIENTE EN SU VIVIENDA CASA 2 PISOS COLOR AMARILL</t>
  </si>
  <si>
    <t>GUTIERREZ QUISPE, KATTY SILVIA</t>
  </si>
  <si>
    <t>107172101000548622</t>
  </si>
  <si>
    <t>77,552.65</t>
  </si>
  <si>
    <t>19/06/2025PRESENTACION DE EJECUCION DE GARANTIA</t>
  </si>
  <si>
    <t>HUAMAN ESTEVES, SARA MILAGROS</t>
  </si>
  <si>
    <t>107172101000622560</t>
  </si>
  <si>
    <t>19,446.53</t>
  </si>
  <si>
    <t>00432-2024-92-3004-JP-CI-01</t>
  </si>
  <si>
    <t>00826-2024-0-3004-JP-CI-01</t>
  </si>
  <si>
    <t>ACCIONES Y DERECHOS DEL BIEN INMUEBLE QUE CORRESPONDE AL TITULAR HUAMAN ESTEVES, SARA MILAGROS UBICADO EN PUEBLO JOVEN EDILBERTO RAMOS MZ. B LOTE 5, GRUPO RESIDENCIAL 1, DISTRITO DE VILLA EL SALVADOR, LIMA,LIMA INSCRITO EN LA PARTIDA P03144422</t>
  </si>
  <si>
    <t>15/09/2025RES 05: CONSENTIDO EL AUTO FINAL</t>
  </si>
  <si>
    <t>HUARANCCA TOLEDO DE MALDONADO, VILMA LEONCIA</t>
  </si>
  <si>
    <t>107172101000903770</t>
  </si>
  <si>
    <t>28,777.67</t>
  </si>
  <si>
    <t>00746-2024-0-3001-JP-CI-01</t>
  </si>
  <si>
    <t>26/08/2025RES 03: CONSENTIDO EL AUTO FINAL</t>
  </si>
  <si>
    <t>107172101000905100</t>
  </si>
  <si>
    <t>19,852.47</t>
  </si>
  <si>
    <t>25016-2024-0-1828-JR-CO-13</t>
  </si>
  <si>
    <t>EJECUCION / ETAPA DE REMATE</t>
  </si>
  <si>
    <t>INMUEBLE AA.HH SANTA ROSA DE LAS CANCHITAS MZ. K ,LT. 07, DISTRITO DE VMT, PROVINCIA Y DEPARTAMENTO DE LIMA</t>
  </si>
  <si>
    <t>04/06/2025RES 03: SE PONE A REMATE LA PROPIEDAD HIPOTECADA</t>
  </si>
  <si>
    <t>SE NOTIFICA A CLIENTE EN SU VIVIENDA CASA 3 PISOS COLOR AMARILLO</t>
  </si>
  <si>
    <t>MENDOZA HEREDIA, JUANA</t>
  </si>
  <si>
    <t>107049101002103593</t>
  </si>
  <si>
    <t>54,199.00</t>
  </si>
  <si>
    <t>JUZGADO ESPECIALIZADO CIVIL DE VMT</t>
  </si>
  <si>
    <t>00220-2020-43-3001-JR-CI-01</t>
  </si>
  <si>
    <t>00220-2020-0-3001-JR-CI-01</t>
  </si>
  <si>
    <t>24/03/2026 RES 07: SOBRECARTESE A LAS PARTES</t>
  </si>
  <si>
    <t>SE NOTIFICA A CLIENTE EN SU VIVIENDA 2 PISOS SIN TARRAJEAR</t>
  </si>
  <si>
    <t>PAJUELO SOTO, AURIA</t>
  </si>
  <si>
    <t>107172101000809573</t>
  </si>
  <si>
    <t>31,727.76</t>
  </si>
  <si>
    <t>27058-2024-0-1828-JR-CO-09</t>
  </si>
  <si>
    <t>HIPOTECA TOTALIDAD DEL BIEN INMUEBLE DEL OBLIGADO PRINCIPAL PAJUELO SOTO, AURIA UBICADO EN ASENTAMIENTO HUMANO VILLA MARIA DEL TRIUNFO MZ. I22G, LOTE 2, SECTOR ASOCIACION CENTRAL UNIFICADA, VILLA MARIA DEL TRIUNFO, LIMA, LIMA, INSCRITO EN LA PARTIDA ELECTRONICA Nº P03217567</t>
  </si>
  <si>
    <t>10/04/2026 RES 04: CONSENTIDO EL AUTO FINAL</t>
  </si>
  <si>
    <t>SE NOTIFICA A CLIENTE EN SU VIVIENDA 2 PISOS SIN TARRAJEAS</t>
  </si>
  <si>
    <t>PALOMINO SALAS, HANZ ROMER</t>
  </si>
  <si>
    <t>107172101001052992</t>
  </si>
  <si>
    <t>30,628.95</t>
  </si>
  <si>
    <t>02598-2025-27-1866-JP-CI-02</t>
  </si>
  <si>
    <t>02598-2025-0-1809-JP-CI-02</t>
  </si>
  <si>
    <t>LA TOTALIDAD DEL BIEN QUE LE CORRESPONDE A LOS FIADORES PALOMINO GALVEZ EMILIANO Y SALAS CARDENAS JUANA, DEL BIEN INMUEBLE UBICADO EN ASENTAMIENTO HUMANO VILLA DEL SUR MZ H LOTE 8, SAN JUAN DE MIRAFLORES, LIMA, LIMA; PARTIDA ELECTRÓNICA N° P03139268</t>
  </si>
  <si>
    <t>17/12/2025 ESCRITO: PRESENTACION DE LA FORMALIZACION DE LA DDA</t>
  </si>
  <si>
    <t>PEREZ SANANCINO, JUAN CARLOS</t>
  </si>
  <si>
    <t>107172101000064196</t>
  </si>
  <si>
    <t>23,000.00</t>
  </si>
  <si>
    <t>00335-2024-58-3001-JP-CI-01</t>
  </si>
  <si>
    <t>00335-2024-0-3001-JP-CI-01</t>
  </si>
  <si>
    <t>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t>
  </si>
  <si>
    <t>11/11/2025 ESCRITO; CONSENTIMIENTO Y REQUERIMIENTO</t>
  </si>
  <si>
    <t>PIZARRO FEBRES, ELMORA JESUS</t>
  </si>
  <si>
    <t>107172101000749269</t>
  </si>
  <si>
    <t>76,086.54</t>
  </si>
  <si>
    <t>JUZGADO ESPECIALIZADO CIVIL DE VILLA MARIA DEL TRIUNFO</t>
  </si>
  <si>
    <t>00715-2023-34-3001-JR-CI-01</t>
  </si>
  <si>
    <t>00715-2023-0-3001-JR-CI-01</t>
  </si>
  <si>
    <t>TOTALIDAD DEL BIEN INMUEBLE QUE LE CORRESPONDE AL TITULAR PIZARRO FEBRES, ELMORA JESUS UBICADO EN PUEBLO JOVEN URBANIZACION VILLA JARDIN, MZ. F LOTE 10, ZONA SEGUNDA Y TERCERA, DISTRITO DE VILLA MARIA DEL TRIUNFO,LIMA,LIMA INSCRITO EN LA PARTIDA P03107955</t>
  </si>
  <si>
    <t>21/05/2026 ESCRITO: SOLICITO INICIO DE EJECUCION FORZADA Y DESIGNACION DE PERITOS</t>
  </si>
  <si>
    <t>SE NOTIFICA A CLIENTE EN SU VIVIENDA PRECARIA 1 PISO COLOR AZUL PORTON DE MADERA.</t>
  </si>
  <si>
    <t>QUISPE DAMIAN, DIANA EDITH</t>
  </si>
  <si>
    <t>107172101001025536</t>
  </si>
  <si>
    <t>62,000.00</t>
  </si>
  <si>
    <t>12°JUZGADO CIVIL-COMERCIAL DE LIMA</t>
  </si>
  <si>
    <t>06877-2026-99-1828-JR-CO-12</t>
  </si>
  <si>
    <t>06877-2026-0-1817-JR-CO-12</t>
  </si>
  <si>
    <t>ACCIONES Y DERECHOS QUE LE CORRESPONDEN AL FIADOR QUISPE CUBA SERAFIN, DEL BIEN INMUEBLE UBICADO EN PUEBLO JOVEN SAN FANCISCO DE LA TABALADA DE LURIN MZ 8YA LOTE 12, SECTOR TERCERO, VILLA MARIA DEL TRIUNFO,LIMA,LIMA INSCRITO EN LA PARTIDA ELECTRONICA Nº P03157854</t>
  </si>
  <si>
    <t>27/05/2026 RES 01: ADMITIDA LA FORMALIZACION</t>
  </si>
  <si>
    <t>QUISPE DAMIAN, ERIKA SANDRA</t>
  </si>
  <si>
    <t>107172101001041857</t>
  </si>
  <si>
    <t>32,196.80</t>
  </si>
  <si>
    <t>00602-2024-87-3001-JP-CI-01</t>
  </si>
  <si>
    <t>00602-2024-0-3001-JP-CI-01</t>
  </si>
  <si>
    <t>TOTALIDAD QUE LE CORRESPONDE A LOS FIADORES SOBRE EL BIEN UBICADO EN PUEBLO JOVEN SAN FRANCISCO DE LA TABLADA DE LURIN MZ 8YA LOTE 12 SECTOR TERCERO, VILLA MARIA DEL TRIUNFO, LIMA PARTIDA P03157854</t>
  </si>
  <si>
    <t>03/07/2026 ESCRITO: FORMALIZACION</t>
  </si>
  <si>
    <t>SE NOTIFICA A CLIENTE EN SU VIVIENDA CASA DE DOS PISOS COLOR SIN TARRAJEAR SE DEJA CARTA A CUÑADO</t>
  </si>
  <si>
    <t>RUIZ SANCHEZ, LEITHER JHUL</t>
  </si>
  <si>
    <t>107172101000097849</t>
  </si>
  <si>
    <t>31,201.83</t>
  </si>
  <si>
    <t>04693-2026-0-1828-JR-CO-12</t>
  </si>
  <si>
    <t>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t>
  </si>
  <si>
    <t>18/06/2026 ESCRITO: ABSUELVO TRASLADO</t>
  </si>
  <si>
    <t>SOTOMAYOR DURAND, ELEODORO SERAFIN</t>
  </si>
  <si>
    <t>107172101001172602</t>
  </si>
  <si>
    <t>27,223.11</t>
  </si>
  <si>
    <t>01737-2025-23-1866-JP-CI-02</t>
  </si>
  <si>
    <t>01737-2025-0-1809-JP-CI-02</t>
  </si>
  <si>
    <t>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t>
  </si>
  <si>
    <t>04/11/2025RES.02: AUTO FINAL</t>
  </si>
  <si>
    <t>SE NOTIFICA A CLIENTE EN SU VIVIENDA CASA 3 PISOS COLOR OCRE ATIENDE TITULAR</t>
  </si>
  <si>
    <t>VALDERRAMA PEREZ, ORLANDO GUSTAVO</t>
  </si>
  <si>
    <t>107172101000856604</t>
  </si>
  <si>
    <t>26,296.84</t>
  </si>
  <si>
    <t>00106-2025-17-3001-JP-CI-01</t>
  </si>
  <si>
    <t>00106-2025-0-3001-JP-CI-01</t>
  </si>
  <si>
    <t>TOTALIDAD DEL BIEN INMUEBLE QUE LE CORRESPONDE AL FIADOR ALATRISTA LUCIO, JUDITH ROXANA UBICADO EN PUEBLO JOVEN NUEVA ESPERANZA MZ. 65 SUB-LOTE 4A, VILLA MARIA DEL TRIUNFO, LIMA, LIMA INSCRITO EN LA PARTIDA P03330730</t>
  </si>
  <si>
    <t>SE NOTIFICA A CLIENTE EN SU VIVIENDA 4 PISOS COLOR BLANCO CON PORTON PLOMO</t>
  </si>
  <si>
    <t>AG. SAN JUAN DE MIRAFLORES II</t>
  </si>
  <si>
    <t>BRAVO ARIAS, MARITZA GRACIELA</t>
  </si>
  <si>
    <t>107178101000494727</t>
  </si>
  <si>
    <t>9,480.44</t>
  </si>
  <si>
    <t>00660-2024-82-3001-JP-CI-01</t>
  </si>
  <si>
    <t>00660-2024-0-3001-JP-CI-01</t>
  </si>
  <si>
    <t>TOTALIDAD DEL BIEN INMUEBLE QUE CORRESPONDE A LA TITULAR BRAVO ARIAS, MARITZA GRACIELA UBICADO EN URBANIZACION SAN JUAN PARCELA C, SUB PARCELA C-1, MZ. G, LT. 24, DISTRITO DE SAN JUAN DE MIRAFLORES, INSCRITO EN LA PARTIDA P03177730</t>
  </si>
  <si>
    <t>24/06/2026 RES 01: ADMITIDO FORMALIZACION</t>
  </si>
  <si>
    <t>SE NOTIFICA A CLIENTE EN SU VIVIENDA 3 PISOS COLOR AMARILLO</t>
  </si>
  <si>
    <t>BRITO PEREZ, MARIA DE JESUS</t>
  </si>
  <si>
    <t>107178101000636236</t>
  </si>
  <si>
    <t>15,860.43</t>
  </si>
  <si>
    <t>00392-2024-1-3002-JP-CI-02</t>
  </si>
  <si>
    <t>00392-2024-0-3002-JP-CI-02</t>
  </si>
  <si>
    <t>TOTALIDAD DEL BIEN INMUEBLE QUE LE CORRESPONDE A LA TITULAR BRITO PEREZ, MARIA DE JESUS UBICADO EN PUEBLO JOVEN REPUBLICA DEMOCRATICA ALEMANA, MZ. F, LOTE 17, DISTRITO DE SAN JUAN DE MIRAFLORES, LIMA, LIMA, INSCRITO EN LA PARTIDA P03109667</t>
  </si>
  <si>
    <t>21/04/2025APERSONAMIENTO: SOLICITO SE DE CONSENTIMIENTO Y REQUERIMIENTO DEL PAGO CORRESPONDIENTE</t>
  </si>
  <si>
    <t>CALDERON ANGELES, SANDRA BEATRIZ</t>
  </si>
  <si>
    <t>107178101000993442</t>
  </si>
  <si>
    <t>28,564,51</t>
  </si>
  <si>
    <t>01216-2025-0-1820-JP-CI-04</t>
  </si>
  <si>
    <t>26/09/2025RES. 02: AUTO FINAL</t>
  </si>
  <si>
    <t>CASTILLA LARICO, PEDRO ABEL</t>
  </si>
  <si>
    <t>107178101000566884</t>
  </si>
  <si>
    <t>41,066.46</t>
  </si>
  <si>
    <t>00359-2024-61-3002-JP-CI-02</t>
  </si>
  <si>
    <t>00359-2024-0-3002-JP-CI-02</t>
  </si>
  <si>
    <t>TOTALIDAD DEL BIEN INMUEBLE QUE LE CORRESPONDEN A LOS FIADORES: CASTILLA MENDOZA, JUAN Y LARICO HUANCA, ZOILA HORTENCIA UBICADO EN PUEBLO JOVEN PAMPLONA ALTA, MZ. 6, LOTE 12, SANTIAGO ANTUNEZ DE MAYOLO, DISTRITO DE SAN JUAN DE MIRAFLORES, LIMA, LIMA INSCRITO EN LA PARTIDA P03066401</t>
  </si>
  <si>
    <t>13/05/2026 RES 02: AUTO FINAL</t>
  </si>
  <si>
    <t>CHATTA YANQUI, BENIGNO</t>
  </si>
  <si>
    <t>107178101000644156</t>
  </si>
  <si>
    <t>18,952,99</t>
  </si>
  <si>
    <t>01311-2025-92-1866-JP-CI-02</t>
  </si>
  <si>
    <t>01311-2025-0-1809-JP-CI-02</t>
  </si>
  <si>
    <t>LA TOTALIDAD DEL BIEN INMUEBLE QUE LE CORRESPONDE AL TITULAR CHATTA YANQUI, BENIGNO ,UBICADO EN PUEBLO JOVEN INDOAMERICA MZ F LT 18, SAN JUAUN DE MIRAFLORES, LIMA, LIMA. INSCRITO EN LA PARTIDA P03129824</t>
  </si>
  <si>
    <t>04/11/2025RES. 02: AUTO FINAL</t>
  </si>
  <si>
    <t>SE NOTIFICA A CLIENTE EN SU VIVIENDA 3 PISOS COLOR NARANJA</t>
  </si>
  <si>
    <t>FINQUIN MENDEZ, MARGOT JANET</t>
  </si>
  <si>
    <t>107178101000932300</t>
  </si>
  <si>
    <t>23,032,32</t>
  </si>
  <si>
    <t>04184-2025-60-1866-JP-CI-03</t>
  </si>
  <si>
    <t>04184-2025-0-1809-JP-CI-03</t>
  </si>
  <si>
    <t>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t>
  </si>
  <si>
    <t>16/03/2026 ESCRITO; SOLICITO AUTO FINAL</t>
  </si>
  <si>
    <t>GARCIA TORRES, ALEXIS ROBERTO</t>
  </si>
  <si>
    <t>107178101000726541</t>
  </si>
  <si>
    <t>15,127.27</t>
  </si>
  <si>
    <t>00556-2024-38-3001-JP-CI-01</t>
  </si>
  <si>
    <t>00556-2024-0-3001-JP-CI-01</t>
  </si>
  <si>
    <t>TOTALIDAD DEL BIEN INMUEBLE (ESTAMOS EN 2 RANGO , 1ERO CAJA TACNA ) QUE LE CORRESPONDE A LA FIADORA TORRES VDA DE GARCIA, DORIS UBICADO EN ASOCIACION DE VIVIENDA VILLA DE JESUS SUBLOTE 1, MZ. XII, LOTE 19, VILLA EL SALVADOR,LIMA,LIMA INSCRITO EN LA PARTIDA P03323224</t>
  </si>
  <si>
    <t>18/02/2025 ESCRITO LO QUE SEINDICA</t>
  </si>
  <si>
    <t>SE NOTIFICA A CLIENTE EN SU VIVIENDA 3 PISO COLOR NARANJA</t>
  </si>
  <si>
    <t>JHOE SERVICIOS &amp; CALIDAD EIRL</t>
  </si>
  <si>
    <t>107178101000255891</t>
  </si>
  <si>
    <t>38,948.51</t>
  </si>
  <si>
    <t>00874-2023-21-3002-JP-CI-02</t>
  </si>
  <si>
    <t>00874-2023-0-3002-JP-CI-02</t>
  </si>
  <si>
    <t>TOTALIDAD DEL BIEN INMUEBLE QUE CORRESPONDEN A LOS FIADORES: SERRANO AVALOS, ESCOLASTICO RUDECINDO Y SANCHEZ ZAPATA, MARIA ERLINDA UBICADO EN COOP. DE VIVIENDA URANMARCA LTDA. MZ. B LT. 14, UNIDAD Nº 1, DISTRITO DE SAN JUAN DE MIRAFLORES, LIMA, LIMA INSCRITO EN LA PARTIDA P03264116</t>
  </si>
  <si>
    <t>25/05/2026 ESCRITO: INFORMAMOS EL PAGO A LOS PERITOS Y SOLICITAMOS SE PROGRAME FECHA Y HORA PARA REALIZAR LA TAZACION</t>
  </si>
  <si>
    <t>SE NOTIFICA A CLIENTE EN SU VIVIENDA 4 PISO AZUL</t>
  </si>
  <si>
    <t>SERRANO SANCHEZ, NELLY MERCEDES</t>
  </si>
  <si>
    <t>LANDA ZAPATA, GINO FABRIZIO</t>
  </si>
  <si>
    <t>107178101001036847</t>
  </si>
  <si>
    <t>36,514,63</t>
  </si>
  <si>
    <t>10641-2026-0-1828-JR-CO-01</t>
  </si>
  <si>
    <t>DEPARTAMENTO 301 (TERCER PISO) JIRON CUZCO NUMERO 220, MAGDALENA DEL MAR, LIMA, LIMA cuyo dominio corre inscrito en la partida electrónica N° 11863246 del Registro de Propiedad Inmueble de Lima</t>
  </si>
  <si>
    <t>06/05/2026 RES 01: ADMITIDA</t>
  </si>
  <si>
    <t>SE NOTIFICA A CLIENTE EL RECORDATORIO DE SU CUOTA DE SU CONVENIO</t>
  </si>
  <si>
    <t>107178101000383550</t>
  </si>
  <si>
    <t>17,551.08</t>
  </si>
  <si>
    <t>JUZGADO DE PAZ LETRADO CIVIL DE SJM</t>
  </si>
  <si>
    <t>00956-2025-44-3002-JP-CI-02</t>
  </si>
  <si>
    <t>00956-2025-0-3002-JP-CI-02</t>
  </si>
  <si>
    <t>TOTALIDAD DEL BIEN INMUEBLE QUE LE CORRESPONDEN AL TITULAR LANDA ZAPATA, GINO FABRIZIO UBICADO EN DEPARTAMENTO 301 (TERCER PISO) JIRON CUZCO NUMERO 220, MAGDALENA DEL MAR, LIMA, LIMA INSCRITO EN LA PARTIDA ELECTRONICA N°11863246 DEL REGISTRO DE PROPIEDAD INMUEBLE.</t>
  </si>
  <si>
    <t>LLACCTA ZELA, BIVIANA</t>
  </si>
  <si>
    <t>107178101000591761</t>
  </si>
  <si>
    <t>54,502.24</t>
  </si>
  <si>
    <t>00390-2024-23-3002-JR-CI-01</t>
  </si>
  <si>
    <t>00390-2024-0-3002-JR-CI-01</t>
  </si>
  <si>
    <t>TOTALIDAD DEL BIEN INMUEBLE QUE CORRESPONDE AL TITULAR: LLACTA ZELA BIVIANA UBICADO EN PARCELA PREDIO ERIAZO RESULTANTE PR-03, MZ. B, LT. 18, HABILITACION URBANA, TERCER SECTOR DE LAS PAMPAS DE SAN JUAN, DISTRITO DE SAN JUAN DE MIRAFLORES, INSCRITO EN LA PARTIDA P03282741</t>
  </si>
  <si>
    <t>20/10/2025RES 04: DEACUERDO CON EL COMPROMISO DE PAGO</t>
  </si>
  <si>
    <t>MALPARTIDA HILARIO, JORDY DAVID</t>
  </si>
  <si>
    <t>107178101000212876</t>
  </si>
  <si>
    <t>21,323.37</t>
  </si>
  <si>
    <t>00703-2024-35-3001-JP-CI-01</t>
  </si>
  <si>
    <t>00703-2024-0-3001-JP-CI-01</t>
  </si>
  <si>
    <t>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t>
  </si>
  <si>
    <t>13/04/2026 RES 01: ADMITIDO FORMALIZACION</t>
  </si>
  <si>
    <t>SE NOTIFICA A CLIENTE EN SU VIVIENDA 2 PISOS SIN PINTAR</t>
  </si>
  <si>
    <t>MAMANI SOTO, ORTENCIA</t>
  </si>
  <si>
    <t>107178101000402160</t>
  </si>
  <si>
    <t>17,839.86</t>
  </si>
  <si>
    <t>05010-2025-27-1866-JP-CI-03</t>
  </si>
  <si>
    <t>05010-2025-0-1809-JP-CI-03</t>
  </si>
  <si>
    <t>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t>
  </si>
  <si>
    <t>MEDINA TANTAVILCA, SEMORINA</t>
  </si>
  <si>
    <t>107178101000280718</t>
  </si>
  <si>
    <t>50,158.78</t>
  </si>
  <si>
    <t>30733-2023-59-1817-JR-CO-01</t>
  </si>
  <si>
    <t>30733-2023-0-1817-JR-CO-01</t>
  </si>
  <si>
    <t>CASA 1 PISO, CORRALON</t>
  </si>
  <si>
    <t>21/01/2026 ESCRITO: ABSUELVO TRASLADO</t>
  </si>
  <si>
    <t>SE NOTIFICA A CLIENTE EN SU VIVIENDA CASA BLANCA 2 PISOS</t>
  </si>
  <si>
    <t>OCAMPO VACALLA, RUBEN</t>
  </si>
  <si>
    <t>MEJIA HUARALLOCLLE, WILBER</t>
  </si>
  <si>
    <t>107178101000031255</t>
  </si>
  <si>
    <t>13,900.30</t>
  </si>
  <si>
    <t>00937-2023-41-3002-JP-CI-02</t>
  </si>
  <si>
    <t>00937-2023-0-3002-JP-CI-02</t>
  </si>
  <si>
    <t>PUEBLO JOVEN PAMPLONA ALTA MZ A LOTE 8 SECTOR SAN FRANCISCO DE LA CRUZ PE P03233803</t>
  </si>
  <si>
    <t>18/09/2025ESCRITO: SOLICITO AUTO FINAL</t>
  </si>
  <si>
    <t>SE NOTIFICA A CLIENTE EN SU VIVIENDA 2 PISOS COLOR CRMA Y PLOMO SEGUNDO PISO</t>
  </si>
  <si>
    <t>107178101000193886</t>
  </si>
  <si>
    <t>11,706.88</t>
  </si>
  <si>
    <t>04645-2025-63-1866-JP-CI-03</t>
  </si>
  <si>
    <t>04645-2025-0-1809-JP-CI-03</t>
  </si>
  <si>
    <t>TOTALIDAD DEL BIEN INMUEBLE QUE CORRESPONDE AL TITULAR: OCAMPO VACALLA, RUBEN UBICADO EN PUEBLO JOVEN PRIMER HOGAR POLICIAL, MZ S2, LOTE 11, ZONA II, VILLA MARIA DEL TRIUNFO ,LIMA ,LIMA INSCRITO EN LA PARTIDA P03122551</t>
  </si>
  <si>
    <t>08/04/2026 ESCRITO: ADJUNTO ARANCEL DE EXHORTO</t>
  </si>
  <si>
    <t>SE NOTIFICA A CLIENTE EN SU VIVIENDA 4 PISOS NARANJA SE NOTIFICA EMBARGO</t>
  </si>
  <si>
    <t>OLIVERA RAMIREZ, ILMER</t>
  </si>
  <si>
    <t>107178101000964799</t>
  </si>
  <si>
    <t>34556.34</t>
  </si>
  <si>
    <t>12606-2025-0-1828-JR-CO-12</t>
  </si>
  <si>
    <t>VEHÍCULO DE PLACA DE RODAJE N° BSI664</t>
  </si>
  <si>
    <t>22/04/2026 ESCRITO: ADJUNTO ARANCEL</t>
  </si>
  <si>
    <t>SE NOTIFICA A CLIENTE EN SU VIVIENDA 2 PISOS CREMA</t>
  </si>
  <si>
    <t>OTINIANO GONZALEZ, MAXIMINA ISABEL</t>
  </si>
  <si>
    <t>107178101000539169</t>
  </si>
  <si>
    <t>52,949.34</t>
  </si>
  <si>
    <t>00837-2023-40-3002-JR-CI-01</t>
  </si>
  <si>
    <t>00837-2023-0-3002-JR-CI-01</t>
  </si>
  <si>
    <t>TOTALIDAD DEL BIEN INMUEBLE QUE CORRESPONDE AL TITULAR OTINIANO GONZALES, MAXIMINA ISABEL, UBICADO EN PUEBLO JOVEN ASOC. DE POBLADORES MARTIRES DE SAN JUAN, MZ. C, LOTE 11, DISTRITO DE SAN JUAN DE MIRAFLORES, LIMA, LIMA INSCRITO EN LA PARTIDA P03104317</t>
  </si>
  <si>
    <t>PEDRAZA MIJAHUANCA, ALIDEZ</t>
  </si>
  <si>
    <t>107178101000780309</t>
  </si>
  <si>
    <t>15,188.96</t>
  </si>
  <si>
    <t>00841-2024-98-3002-JP-CI-02</t>
  </si>
  <si>
    <t>TOTALIDAD DEL BIEN INMUEBLE QUE CORRESPONDEN A LOS FIADORES: MANTILLA MPORENO, MARCOS MELIO Y AGUILAR RODRIGUEZ, JUANA UBICADO EN ASOCIACION DE VIVIENDA LA MERCED DE LIMA MZ. F LOTE. 4 , SAN JUAN DE MIRAFLORES, LIMA, LIMA INSCRITO EN LA PARTIDA P03223378</t>
  </si>
  <si>
    <t>SE NOTIFICA A CLIENTE EN SU VIVIENDA 1 PISOS DE CEMENTO SIN PINTAL BODEGA</t>
  </si>
  <si>
    <t>PEÑA QUISPE, EDSON ESTEFANO</t>
  </si>
  <si>
    <t>107178101000487688</t>
  </si>
  <si>
    <t>9,179.51</t>
  </si>
  <si>
    <t>00377-2023-22-3002-JP-CI-02</t>
  </si>
  <si>
    <t>00377-2023-0-3002-JP-CI-02</t>
  </si>
  <si>
    <t>TOTALIDAD DEL INMUEBLE QUE CORRESPONDE AL FIADOR: QUISPE MAYHUA, MARIA CRISTINA UBICADO EN PUEBLO JOVEN PAMPLONA ALTA, MZ. T, LOTE 7, DPTO.101, EDF. PIS/REF. 1-S.F., SAN JUAN DE MIRAFLORES, LIMA, LIMA INSCRITO EN LA PARTIDA P03258861</t>
  </si>
  <si>
    <t>26/08/2025ESCRITO: CONSENTIMENTO Y REQUERIMIENTO</t>
  </si>
  <si>
    <t>SE NOTIFICA A CLIENTE EN SU VIVIENDA CASA 4 PISOS, MULTIFAMILIAR, VIVE EN 1ER PISO, MATERIAL NOBLE,C</t>
  </si>
  <si>
    <t>RAMOS NINA, JAVIER JESUS</t>
  </si>
  <si>
    <t>107178101000634781</t>
  </si>
  <si>
    <t>10,578.90</t>
  </si>
  <si>
    <t>00587-2024-79-3001-JP-CI-01</t>
  </si>
  <si>
    <t>00587-2024-0-3001-JP-CI-01</t>
  </si>
  <si>
    <t>TOTALIDAD DEL BIEN INMUEBLE QUE LE CORRESPONDE AL FIADOR CHAHUA NINA, VICENTA UBICADO ENPUEBLO JOVEN NUEVA ESPERANZA ASENTAMIENTO HUMANO AMISTAD 8 DE OCTUBRE MZ.G, LOTE 6, VILLA MARIA DEL TRIUNFO, LIMA,LIMA INSCRITO EN LA PARTIDA P03269679</t>
  </si>
  <si>
    <t>21/05/2026 ESCRITO: ABSUELVO TRASLADO</t>
  </si>
  <si>
    <t>SE NOTIFICA A CLIENTE EN SU VIVIENDA CASA 3 PISOS COLOR BLANCO CON PARTE BAJA PRIMER PISO</t>
  </si>
  <si>
    <t>107178101000772312</t>
  </si>
  <si>
    <t>15,355.83</t>
  </si>
  <si>
    <t>REATEGUI SANCHEZ, JOSE LUIS</t>
  </si>
  <si>
    <t>107178101000305902</t>
  </si>
  <si>
    <t>14,541.73</t>
  </si>
  <si>
    <t>00490-2024-96-3002-JP-CI-02</t>
  </si>
  <si>
    <t>00490-2024-0-3002-JP-CI-02</t>
  </si>
  <si>
    <t>TOTALIDAD DEL BIEN INMUEBLE QUE LE CORRESPONDEN A LOS FIADORES: CHOCCÑA FLORES, JUAN Y GUTIERREZ SEGOVIA, ANGELINA UBICADO EN PLAN INTEGRAL PAMPAS DE SAN JUAN, MZ. N, LOTE 9, PUEBLO JOVEN MANUEL SOCRZA, SAN JUAN DE MIRAFLORES, LIMA ,LIMA INSCRITO EN LA PARTIDA P03115659</t>
  </si>
  <si>
    <t>SE NOTIFICA A CLIENTE EN SU VIVIENDA 3 PISOS COLOR VERDE PRIMERPISO Y RESTO SIN PINTAR</t>
  </si>
  <si>
    <t>RODRIGUEZ CORDOVA, DORIS ELIZABETH</t>
  </si>
  <si>
    <t>107178101000214747</t>
  </si>
  <si>
    <t>45,819.69</t>
  </si>
  <si>
    <t>00037-2024-3-3002-JP-CI-02</t>
  </si>
  <si>
    <t>TOTALIDAD DEL BIEN INMUEBLE DEL FIADOR JERI GUERRERO, JULIO CESAR UBICADO EN ASENTAMIENTO HUMANO LA ALBORADA, I ETAPA, MZ. I, LOTE 4, DISTRITO DE PUENTE PIEDRA, LIMA ,LIMA INSCRITO EN LA PARTIDA P01279659</t>
  </si>
  <si>
    <t>SE NOTIFICA A CLIENTE EN SU VIVIENDA 4 PISOS COLOR BLANCO Y TAMBIEN SE DEJA AVAN EN PAMPLONA ALTA CA</t>
  </si>
  <si>
    <t>SAPAICO PACHECO, AUREA ROSA</t>
  </si>
  <si>
    <t>107178101000764040</t>
  </si>
  <si>
    <t>30,195.26</t>
  </si>
  <si>
    <t>00140-2025-66-3002-JP-CI-02</t>
  </si>
  <si>
    <t>00140-2025-0-3002-JP-CI-02</t>
  </si>
  <si>
    <t>TOTALIDAD DEL BIEN INMUEBLE QUE LE CORRESPONDE A LA TITULAR SAPAICO PACHECO AUREA ROSA, UBICADO EN PLAN INTEGRAL PAMPAS DE SAN JUAN MZ. B LOTE 33 PUEBLO JOVEN JOSE CARLOS MARIATEGUI, SAN JUAN DE MIRAFLORES,LIMA, LIMA INSCRITO EN LA PARTIDA Nº P03131420</t>
  </si>
  <si>
    <t>29/10/2025RES 02: AUTO FINAL</t>
  </si>
  <si>
    <t>SE NOTIFICA A CLIENTE EN SU VIVIENDA 2 PISOS NARANJA</t>
  </si>
  <si>
    <t>107178101000375000</t>
  </si>
  <si>
    <t>18,477.35</t>
  </si>
  <si>
    <t>00928-2023-98-3002-JP-CI-02</t>
  </si>
  <si>
    <t>00928-2023-0-3002-JP-CI-02</t>
  </si>
  <si>
    <t>17/03/2026 RES 05: CONSENTIDO EL AUTO FINAL</t>
  </si>
  <si>
    <t>SOLIS SOLIS, GEMMEL ORLANDO</t>
  </si>
  <si>
    <t>107178101001050994</t>
  </si>
  <si>
    <t>43,188.59</t>
  </si>
  <si>
    <t>TOTALIDAD DEL BIEN IMBUELE QUE LE CORRESPONDE AL FIADOR SOLIS SOLIS ROSA LUZ, UBICADO EN PUEBLO JOVEN PRO VIVIENDA EL AGUSTINO MZ. G LOTE 6 ZONA QUINTA, ETAPA PRIMERA, EL AGUSTINO, LIMA, LIMA</t>
  </si>
  <si>
    <t>SUMAQ ASOCIADOS SAC</t>
  </si>
  <si>
    <t>107178101000458387</t>
  </si>
  <si>
    <t>18,023.02</t>
  </si>
  <si>
    <t>00991-2025-30-3002-JP-CI-02</t>
  </si>
  <si>
    <t>00991-2025-0-3002-JP-CI-02</t>
  </si>
  <si>
    <t>TOTALIDAD DEL BIEN INMUEBLE QUE LE CORRESPONDE AL FIADOR MAYHUA JANAMPA, YOLANDA UBICADO EN PUEBLO JOVEN SARITA COLONIA, MZ J, LOTE 3, DISTRITO DE SAN JUAN DE MIRAFLORES, LIMA, LIMA INSCRITO EN LA PARTIDA Nº P03121719</t>
  </si>
  <si>
    <t>12/05/2026 RES 01: ADMITIERON LA FORMALIZACION</t>
  </si>
  <si>
    <t>SE NOTIFICA A CLIENTE EN SU VIVIENDA 1 PISO PRECARIO</t>
  </si>
  <si>
    <t>TIMANA VALDERRAMA, GISELA SUSANA</t>
  </si>
  <si>
    <t>107178101000254367</t>
  </si>
  <si>
    <t>27,919.24</t>
  </si>
  <si>
    <t>00085-2024-19-3004-JP-CI-01</t>
  </si>
  <si>
    <t>00085-2024-0-3004-JP-CI-01</t>
  </si>
  <si>
    <t>TOTALIDAD DEL BIEN ( 1 RANGO) QUE LE CORRESPONDE A LOS FIADORES MENDOZA QUISPE, JULIO MANUEL Y QUILCARO LEON LUICA BEATRIZ UBICADO EN PUELO JOVEN EDILBERTO RAMOS MZ P LOTE 10 GRUPO RESIDENCIAL 2, VILLA EL SALVADOR, LIMA, LIMA PARTIDA P03144836</t>
  </si>
  <si>
    <t>02/06/2026 ESCRITO: SOLICITO CONSENTIMIENTO Y REQUERIMIENTO</t>
  </si>
  <si>
    <t>SE NOTIFICA A CLIENTE EN SU VIVIENDA 1 PISO COLOR BLANCO</t>
  </si>
  <si>
    <t>VALLES ROBALINO, JESLY</t>
  </si>
  <si>
    <t>107178101000827125</t>
  </si>
  <si>
    <t>41,394.93</t>
  </si>
  <si>
    <t>05395-2025-71-1866-JP-CI-03</t>
  </si>
  <si>
    <t>05395-2025-0-1809-JP-CI-03</t>
  </si>
  <si>
    <t>ACCIONES Y DERECHOS DEL BIEN INMUEBLE QUE CORRESPONDEN AL TITULAR VALLES ROBALINO, JESLY UBICADO EN CENTRO POBLADO GROCIO PRADO CALLE RASARIO NUM 105 SUB LOTE 3, PROVINCIA DE CHINCHA, DEPARTAMENTO DE ICA INSCRITO EN LA PARTIDA ELECTRONICA Nº P21012471 OFICINA CHINCHA</t>
  </si>
  <si>
    <t>02/02/2026 ESCRITO: SOLICITO AUTO FINAL</t>
  </si>
  <si>
    <t>AG. SURQUILLO</t>
  </si>
  <si>
    <t>ADRIANO LEDESMA, IVAN NOE</t>
  </si>
  <si>
    <t>107074101001854424</t>
  </si>
  <si>
    <t>24,119,29</t>
  </si>
  <si>
    <t>10808-2025-0-1828-JR-CO-12</t>
  </si>
  <si>
    <t>TOTALIDAD DEL BIEN VEHICULAR, MARCA MAZDA, MODELO: MAZDADA3, PLACA D8L325 P: 51504973</t>
  </si>
  <si>
    <t>19/05/2026 ESCRITO: ABSUELVE TRASLADO Y SOLICITA SE REITERE OFICIO DE CAPTURA A LA PNP ADJUNTANDO LAS RESOLUCIONES CORRESPONDIENTES</t>
  </si>
  <si>
    <t>SE NOTIFICA A CLIENTE EN SU VIVIENDA CASA 2 PISOS CREMA</t>
  </si>
  <si>
    <t>AGUILAR TORRES, MARIA DEL CARMEN</t>
  </si>
  <si>
    <t>107074101000996919</t>
  </si>
  <si>
    <t>49,378,58</t>
  </si>
  <si>
    <t>01003-2024-64-1802-JP-CI-03</t>
  </si>
  <si>
    <t>01003-2024-0-1802-JP-CI-03</t>
  </si>
  <si>
    <t>ACCIONES Y DERECHOS DEL TITULAR, P: 45578100, UBICADO EN LT. 04 MZ. H-15, AREA 300,00 M2 LINDEROS Y MEDIDAS PERIMETRICAS POR EL FRENTE CON LA AV. EL PARQUE, SAN BORJA, LIMA, LIMA</t>
  </si>
  <si>
    <t>18/11/2024RES 03: NOTIFIQUESE A LAS PARTES</t>
  </si>
  <si>
    <t>AISUR MANAGER S.A.C.</t>
  </si>
  <si>
    <t>107074101001155369</t>
  </si>
  <si>
    <t>216,758.01</t>
  </si>
  <si>
    <t>14° JUZGADO COMERCIAL DE LIMA</t>
  </si>
  <si>
    <t>14695-2023-0-1817-JR-CO-14</t>
  </si>
  <si>
    <t>18/12/2024RES 08: DA CUENTA DEL ESCRITO INGRESADO POR LA PARTE DEMANDANTE</t>
  </si>
  <si>
    <t>SE NOTIFICA A CLIENTE EN SU VIVIENDA SE NOTIFICA AVAL 5 PISOS COLOR PLOMO</t>
  </si>
  <si>
    <t>ALANYA VELASQUEZ, ROGER GERMAN</t>
  </si>
  <si>
    <t>107074101001156794</t>
  </si>
  <si>
    <t>50,960.93</t>
  </si>
  <si>
    <t>21210-2023-0-1817-JR-CO-08</t>
  </si>
  <si>
    <t>PROGRAMA DE ADJUDICACIÓN DE LOTES DE VIVIENDA ORGANIZACIÓN DE FAMILIAS AMPLIACION OASIS DE VILLA, GRUPO 2 MZ. C, LOTE 43, DISTRITO DE VILLA EL SALVADFOR, PROVINCIA Y DEPARTAMENTO DE LIMA, PARTIDA ELECTRÓNICA N° P03319657 DEL REGISTRO DE PROPIEDAD INMUEBLE DE LIMA</t>
  </si>
  <si>
    <t>11/06/2026 RES 07: SOBRECARTESE A LAS  PARTES</t>
  </si>
  <si>
    <t>ALVAREZ DE LA O, PABLO ANTONIO JESUS</t>
  </si>
  <si>
    <t>107074101001125669</t>
  </si>
  <si>
    <t>13,482.17</t>
  </si>
  <si>
    <t>3 JUZGADO DE PAZ LETRADO LA VICTORIA</t>
  </si>
  <si>
    <t>00858-2023-0-1814-JP-CO-03</t>
  </si>
  <si>
    <t>27/07/2024RES 04: DA CUENTA DE LA DEVOLUCION DE LA CEDULA.</t>
  </si>
  <si>
    <t>SE NOTIFICA A CLIENTE EN SU VIVIENDA 2 PISOS MAYOLICA MARRON</t>
  </si>
  <si>
    <t>AQUIJE VALLE, RIVELINO CESAR</t>
  </si>
  <si>
    <t>107074101001999814</t>
  </si>
  <si>
    <t>23,653.17</t>
  </si>
  <si>
    <t>00035-2026-59-1875-JP-CI-01</t>
  </si>
  <si>
    <t>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t>
  </si>
  <si>
    <t>ARCE COLLANTES, SANDRA KATERINE</t>
  </si>
  <si>
    <t>107074101001064097</t>
  </si>
  <si>
    <t>21,487.00</t>
  </si>
  <si>
    <t>2 JUZGADO DE PAZ LETRADO SAN MIGUEL</t>
  </si>
  <si>
    <t>00273-2023-59-1824-JP-CI-02</t>
  </si>
  <si>
    <t>CC: 605858</t>
  </si>
  <si>
    <t>00273-2023-0-1824-JP-CI-02</t>
  </si>
  <si>
    <t>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t>
  </si>
  <si>
    <t>20/03/2026 ESCRITO: CONSENTIMIENTO Y REQUERIMIENTO</t>
  </si>
  <si>
    <t>ASTORAYME ASCONA, MARILYN</t>
  </si>
  <si>
    <t>107074101001792209</t>
  </si>
  <si>
    <t>13,812,91</t>
  </si>
  <si>
    <t>00668-2024-22-1820-JP-CI-03</t>
  </si>
  <si>
    <t>00668-2024-0-1802-JP-CI-03</t>
  </si>
  <si>
    <t>LA TOTALIDAD DEL INMUEBLE POR PARTE DEL FIADOR ASCONA VIOLETA PAULINA, P: 03196161, UNICADO EN AA.HH LAS FLORES DE VILLA MZ. K1 LT. 21, SAN JUAN DE MIRAFLORES, LIMA</t>
  </si>
  <si>
    <t>22/10/2024RES 02: AUTO FINAL</t>
  </si>
  <si>
    <t>AUTOMIKS TALLER AUTOMOTRIZ E.I.R.L.</t>
  </si>
  <si>
    <t>107074101002161246</t>
  </si>
  <si>
    <t>19,411.84</t>
  </si>
  <si>
    <t>03888-2025-12-1866-JP-CI-03</t>
  </si>
  <si>
    <t>03888-2025-0-1809-JP-CI-03</t>
  </si>
  <si>
    <t>TOTALIDAD DEL BIEN INMUEBLE QUE LE CORRESPONDEN AL FIADOR MINAYA BARRERA, LUIS ENRIQUE UBICADO EN DEPARTAMENTO Nº 5 CON INGRESO POR PASAJE EL PARAISO Nº 129 , MIRAFLORES,LIMA,LIMA INSCRITO EN LA PARTIDA ELECTRONICA Nº 41605065</t>
  </si>
  <si>
    <t>18/05/2026 REA 03: SOBRECARTESE A LAS PARTES</t>
  </si>
  <si>
    <t>CHUMBE ALEGRE, PIER ANNETTA</t>
  </si>
  <si>
    <t>107074101001393345</t>
  </si>
  <si>
    <t>52,043.72</t>
  </si>
  <si>
    <t>09428-2025-0-1828-JR-CO-01</t>
  </si>
  <si>
    <t>CIUDAD SOL DE COLLIQUE - BLOCK 9 DEPARTAMENTO N°502 - QUINTO PISO PASAJE 3, NUMERO 197, FUNDO CHACRA CERRO - ETAPA VII COMAS, PROVINCIA Y DEPARTAMENTO DE LIMA.</t>
  </si>
  <si>
    <t>10/09/2025ESCRITO: ABSUELVO TRASLADO CROQUIS</t>
  </si>
  <si>
    <t>SE NOTIFICA A CLIENTE SE NOTIFICA EN RECEPCION YA QUE ES CONJUNTO RESEDENCIAL CON TORRES.</t>
  </si>
  <si>
    <t>CONDEZO LEON, ROSA</t>
  </si>
  <si>
    <t>107074101001608015</t>
  </si>
  <si>
    <t>52,209,83</t>
  </si>
  <si>
    <t>09778-2025-0-1828-JR-CO-17</t>
  </si>
  <si>
    <t>PUEBLO JOVEN INTEGRACION MZ. E LT. 18, CHORRILLOS, LIMA, LIMA cuyo dominio corre inscrito en la partida electrónica N° P03070062 del Registro de Propiedad Inmueble de Lima, hipotecado a nuestro favor por la suma ascendente a S/. 120.000.00 SOLES.</t>
  </si>
  <si>
    <t>09/03/2025 RES 06: SE SUSPENDE EL PROCESO A PEDIDO DEL DEMANDANTE</t>
  </si>
  <si>
    <t>SE NOTIFICA A CLIENTE EN SU VIVIENDA CASA 1 PISOS PRECARIO</t>
  </si>
  <si>
    <t>CORPORACION FARMACOLOGICA JJ SALUD SAC</t>
  </si>
  <si>
    <t>107074101000710276</t>
  </si>
  <si>
    <t>335,693.92</t>
  </si>
  <si>
    <t>23529-2023-0-1817-JR-CO-09</t>
  </si>
  <si>
    <t>PARCELA N° 10533M QUE FORMÓ PARTE DEL PREDIO ''PACHINGA'', DISTRITO DE SAN ANDRÉS, PROVINCIA DE PISCO, DEPARTAMENTO DE ICA, INMUEBLE INSCRITO EN LA PARTIDA ELECTRÓNICA N° 40004050 DEL REGISTRO DE PROPIEDAD INMUEBLE DE SEDE ICA-OFICINA REGISTRAL DE PISCO</t>
  </si>
  <si>
    <t>20/01/2026 ESCRITO: SOLICITO DESIGNACION DE PERITOS</t>
  </si>
  <si>
    <t>SE NOTIFICA A CLIENTE EN SU VIVIENDA CASA 4 PISOS COLOR VERDE</t>
  </si>
  <si>
    <t>CORPORACION SANCHEZ H S.A.C.</t>
  </si>
  <si>
    <t>107074101001149687</t>
  </si>
  <si>
    <t>84,164.49</t>
  </si>
  <si>
    <t>LIMA NORTE</t>
  </si>
  <si>
    <t>4 JUZ. CIVIL COMAS</t>
  </si>
  <si>
    <t>04403-2023-1-0901-JR-CI-04</t>
  </si>
  <si>
    <t>CC 753538</t>
  </si>
  <si>
    <t>04403-2023-0-0901-JR-CI-04</t>
  </si>
  <si>
    <t>TOTALIDAD DEL INMUEBLE DE PROPIEDAD DE LA AVAL (REPRESENTANTE LEGAL DE LA EMPRESA) SANTA LUCIA SANCHEZ VALDERRAMA UBICADO EN UNIDAD INMOBILIARIA N°5 CUARTO PISO MANZANA P LOTE 29 URB. POPULAR DE INTERES SOCIAL HUAQUILLAY SEGUNDA ETAPA, DISTRITO DE COMAS PE 14682601</t>
  </si>
  <si>
    <t>25/09/2024RES 02: AUTO FINAL</t>
  </si>
  <si>
    <t>CORPORACION TOLENTINI T &amp; J S.A.</t>
  </si>
  <si>
    <t>107074101001152621</t>
  </si>
  <si>
    <t>86,146.34</t>
  </si>
  <si>
    <t>3 JUZGADO CIVIL SAN JUAN DE LURIGANCHO</t>
  </si>
  <si>
    <t>00323-2024-0-3207-JR-CI-03</t>
  </si>
  <si>
    <t>19/03/2026 RES 06: CONSENTIDO AUTO FINAL</t>
  </si>
  <si>
    <t>SE NOTIFICA A CLIENTE EN SU VIVIENDA 5 PISOS COLOR BLANCO</t>
  </si>
  <si>
    <t>CREACIONES A. YKEDA S.A.C</t>
  </si>
  <si>
    <t>107074101001122597</t>
  </si>
  <si>
    <t>50,324.61</t>
  </si>
  <si>
    <t>2 JUZGADO CIVIL COMERCIAL DE LIMA</t>
  </si>
  <si>
    <t>19814-2023-19-1817-JR-CO-02</t>
  </si>
  <si>
    <t>19814-2023-0-1817-JR-CO-02</t>
  </si>
  <si>
    <t>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t>
  </si>
  <si>
    <t>28/05/2026 ESCRITO: CONSENTIMIENTO Y REQUERIMIENTO</t>
  </si>
  <si>
    <t>EXPECTATICIOS</t>
  </si>
  <si>
    <t>CRUZ PEÑA, BETTY</t>
  </si>
  <si>
    <t>107074101001595014</t>
  </si>
  <si>
    <t>26,961.48</t>
  </si>
  <si>
    <t>10 JUZGADO DE PAZ LETRADO SAN MARTIN</t>
  </si>
  <si>
    <t>03375-2023-1-0907-JP-CI-10</t>
  </si>
  <si>
    <t>03375-2023-0-0907-JP-CI-10</t>
  </si>
  <si>
    <t>ACCIONES Y DERECHOS DE PROPIEDAD DE LA TITULAR INMUEBLE UBICADO EN SECCION INMOBILIARIA N°2 PRIMER PISO LOTE 4 DE LA MANZANA T CON FRENTE A CALLE TRES DE OCTUBRE URB MESA REDONDA SEGUNDA ETAPA SAN MARTIN DE PORRES PE 13524819</t>
  </si>
  <si>
    <t>15/05/2026 RES 11: SE ORDENA QUE SE APERSONEN 2 PERITOS</t>
  </si>
  <si>
    <t>SE NOTIFICA A CLIENTE EN SU VIVIENDA 6 PISOS COLOR MARRO Y PLOMO</t>
  </si>
  <si>
    <t>DELGADO CARRERA, GIANCARLO RENZO</t>
  </si>
  <si>
    <t>107074101001510031</t>
  </si>
  <si>
    <t>32,734.39</t>
  </si>
  <si>
    <t>00693-2023-63-3002-JP-CI-02</t>
  </si>
  <si>
    <t>00693-2023-0-3002-JP-CI-02</t>
  </si>
  <si>
    <t>TOTALIDAD DEL INMUEBLE DE PROPIEDAD DE LA AVAL CARRERA SERRANO GLORIA, CÓDIGO DE PREDIO P03216003, CON DIRECCIÓN ASENTAMIENTO HUMANO LOS GIRASOLES DE PAMPLONA ALTA MZ. Ñ2 LOTE 28, SAN JUAN DE MIRAFLORES.</t>
  </si>
  <si>
    <t>17/06/2025RES 05: AUTO FINAL</t>
  </si>
  <si>
    <t>EGUSQUIZA MEDINA, SARA NOEMI</t>
  </si>
  <si>
    <t>107074101001983841</t>
  </si>
  <si>
    <t>19,729,50</t>
  </si>
  <si>
    <t>05740-2024-37-1866-JP-CI-02</t>
  </si>
  <si>
    <t>05740-2024-0-1809-JP-CI-02</t>
  </si>
  <si>
    <t>LA TOTALIDAD DEL BIEN (1 RANGO) QUE LE CORRESPONDE AL TITULAR Y A CARBONEL MONTEZA, LUIS RICARDO EN LA P: P01329669 UBICADO EN AA.HH EL GOLF DE SANTA ROSA MZ R1 LT 1, SANTA ROSA LIMA.</t>
  </si>
  <si>
    <t>17/11/2025RES 02: AUTO FINAL</t>
  </si>
  <si>
    <t>ESCOBAR VASQUEZ, ORLANDO</t>
  </si>
  <si>
    <t>107074101001086221</t>
  </si>
  <si>
    <t>10,443.38</t>
  </si>
  <si>
    <t>2 JUZGADO DE PAZ LETRADO SURQUILLO</t>
  </si>
  <si>
    <t>00447-2021-0-1825-JP-CI-02</t>
  </si>
  <si>
    <t>16/05/2024RES 05: NOTIFICANDOSE</t>
  </si>
  <si>
    <t>SE NOTIFICA A CLIENTE EN SU VIVIENDA 2 PISOS CELESTE</t>
  </si>
  <si>
    <t>ESPINOZA MARCOS, PAOLA WENDY</t>
  </si>
  <si>
    <t>107074101001378126</t>
  </si>
  <si>
    <t>33,876.26</t>
  </si>
  <si>
    <t>20297-2023-0-1817-JR-CO-13</t>
  </si>
  <si>
    <t>CALLE SEVILLA N° 263-267 URBANIZACIÓN RESIDENCIA HIGUERETA TERCER PISO, DISTRITO DE SANTIAGO DE SURCO, PROVINCIA Y DEPARTAMENTO DE LIMA, PARTIDA ELECTRONICA N° 11304623, DEL REGISTRO DE PROPIEDAD INMUEBLE DE LIMA</t>
  </si>
  <si>
    <t>27/04/2026 ESCRITO: ABSUELVO TRASLADO</t>
  </si>
  <si>
    <t>EVENTOS OCAÑA S.A.C.</t>
  </si>
  <si>
    <t>107074101001379092</t>
  </si>
  <si>
    <t>34,393,03</t>
  </si>
  <si>
    <t>01214-2025-0-1820-JP-CI-03</t>
  </si>
  <si>
    <t>28/04/2026 RES. 03 DECLARA CONSENTIDA LA RES. 02 (AUTO FINAL)</t>
  </si>
  <si>
    <t>FORTEXS PERU E.I.R.L.</t>
  </si>
  <si>
    <t>107074101001153232</t>
  </si>
  <si>
    <t>333,445.40</t>
  </si>
  <si>
    <t>2 JUZGADO CIVIL LA MOLINA</t>
  </si>
  <si>
    <t>02121-2023-0-3204-JR-CI-02</t>
  </si>
  <si>
    <t>28/06/2024RES 04: APERSONADO</t>
  </si>
  <si>
    <t>SE NOTIFICA A CLIENTE EN SU VIVIENDA CASA 3 PISOS COLOR PLOMO MENCIONAN QUE EMPRES YA NO EXISTE</t>
  </si>
  <si>
    <t>GUERRA DE LA CRUZ, MERCEDES</t>
  </si>
  <si>
    <t>107074101001973375</t>
  </si>
  <si>
    <t>129,505,96</t>
  </si>
  <si>
    <t>22664-2024-15-1828-JR-CO-14</t>
  </si>
  <si>
    <t>22664-2024-0-1817-JR-CO-14</t>
  </si>
  <si>
    <t>LA TOTALIDAD DEL BIEN INMUBLE DEL TITULAR, P: P02186084, UBICADO EN PUEBLO JOVEN SIMON BOLIVAR MZ B LT 11, SAN JUAN DE LURIGANCHO, LIMA, LIMA</t>
  </si>
  <si>
    <t>28/05/2026 ESCRITO; INFORMAMOS CONVENIO DE PAGO</t>
  </si>
  <si>
    <t>HUARHUA VELA, FLOR DE MARIA</t>
  </si>
  <si>
    <t>107024101005840214</t>
  </si>
  <si>
    <t>21,009,32</t>
  </si>
  <si>
    <t>02459-2024-0-1820-JP-CI-02</t>
  </si>
  <si>
    <t>INVERSIONES EL PIZZERO S.A.C.</t>
  </si>
  <si>
    <t>107074101001382410</t>
  </si>
  <si>
    <t>85,310,49</t>
  </si>
  <si>
    <t>03342-2025-0-1828-JR-CO-13</t>
  </si>
  <si>
    <t>05/05/2026 RES 04: CONSENTIDO AUTO FINAL Y REQUIERASE PAGO</t>
  </si>
  <si>
    <t>SE NOTIFICA A CLIENTE EN SU VIVIENDA SE NOTIFICA A AVAL EN SJL CASA 3 PISOS COLOR ROJO</t>
  </si>
  <si>
    <t>LAZO QUISPE, HECTOR</t>
  </si>
  <si>
    <t>107074101002106407</t>
  </si>
  <si>
    <t>25,003.67</t>
  </si>
  <si>
    <t>01589-2025-0-1820-JP-CI-03</t>
  </si>
  <si>
    <t>15/06/2026 ESCRITO: SOLICITO SE PROGRAME HABILITACION</t>
  </si>
  <si>
    <t>LAZON SIGÜEÑAS, ANDY PAUL</t>
  </si>
  <si>
    <t>107074101001392047</t>
  </si>
  <si>
    <t>41,749,63</t>
  </si>
  <si>
    <t>15813-2024-0-1828-JR-CO-12</t>
  </si>
  <si>
    <t>EJECUCION /LANZAMIENTO</t>
  </si>
  <si>
    <t>TOTALIDAD DEL BIEN INMUEBLE DEL OBLIGADO PRINCIPAL LAZON SIGUEÑAS, ANDY PAUL UBICADO EN MZ. B4 LOTE 17 LOTIZ/HAB. URB. LA ESTANCIA DEL VALLE- IV ETAPA, DISTRITO DE CHICLAYO, DEPARTAMENTO DE LAMBAYEQUE, INSCRITO EN LA PARTIDA ELECTRONICA Nº 11444893</t>
  </si>
  <si>
    <t>10/04/2026 ESCRITO; PRECISO ORDEN DE PAGO DE ENDOSO</t>
  </si>
  <si>
    <t>SE NOTIFICA A CLIENTE EN SU VIVIENDA EN CENTRO DE RIMAC CASA 3 PISOS COLOR CREMA ATIENDE PAPÁ YA SE</t>
  </si>
  <si>
    <t>LIGMAC S.A.C.</t>
  </si>
  <si>
    <t>107074101001153636</t>
  </si>
  <si>
    <t>37,503,13</t>
  </si>
  <si>
    <t>02293-2024-0-1820-JP-CI-02</t>
  </si>
  <si>
    <t>28/05/2026 ESCRITO: REQUERIMIENTO</t>
  </si>
  <si>
    <t>SE NOTIFICA A CLIENTE EN SU VIVIENDA YA NO EXISTE NEGOCIO EN MESA REDONDA</t>
  </si>
  <si>
    <t>METALS CAREN S.A.C.</t>
  </si>
  <si>
    <t>107074101001169851</t>
  </si>
  <si>
    <t>58,600,57</t>
  </si>
  <si>
    <t>02516-2025-0-1828-JR-CO-01</t>
  </si>
  <si>
    <t>20/03/2026 RES 03:CONSENTIDO EL AUTO FINAL</t>
  </si>
  <si>
    <t>SE NOTIFICA A CLIENTE EN SU VIVIENDA 1 PISO PORTON NEGRO</t>
  </si>
  <si>
    <t>MONTEZA SAAVEDRA, VICTOR AUGUSTO</t>
  </si>
  <si>
    <t>107074101001366379</t>
  </si>
  <si>
    <t>172,751,14</t>
  </si>
  <si>
    <t>03340-2025-0-1828-JR-CO-17</t>
  </si>
  <si>
    <t>28/05/2026 RES 04: AUTO FINAL</t>
  </si>
  <si>
    <t>SE NOTIFICA A CLIENTE EN SU VIVIENDA 3 PISOS COLOR BEICHE PORTON DE MADERA</t>
  </si>
  <si>
    <t>MOTOS DIVALKA SOCIEDAD ANONIMA CERRADA</t>
  </si>
  <si>
    <t>107074101001153434</t>
  </si>
  <si>
    <t>138,333.54</t>
  </si>
  <si>
    <t>00769-2023-0-3002-JR-CI-01</t>
  </si>
  <si>
    <t>24/07/2024RES 03: CONSENTIDO EL AUTO FINAL</t>
  </si>
  <si>
    <t>SE NOTIFICA A CLIENTE EN SU VIVIENDA VENTA MOTOS EN LA AV LOS HEROES BAJO PUERTA</t>
  </si>
  <si>
    <t>NEYRA MORALES, ALLISON MISHELL</t>
  </si>
  <si>
    <t>107074101002211597</t>
  </si>
  <si>
    <t>21,727.75</t>
  </si>
  <si>
    <t>00937-2025-19-3002-JP-CI-02</t>
  </si>
  <si>
    <t>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t>
  </si>
  <si>
    <t>OBLITAS MEJIA, ENRIQUE OSWALDO</t>
  </si>
  <si>
    <t>107074101001124105</t>
  </si>
  <si>
    <t>37,779,68</t>
  </si>
  <si>
    <t>01488-2025-0-1828-JR-CO-07</t>
  </si>
  <si>
    <t>TOTALIDAD DEL BIEN INMUEBLE DEL OBLIGADO PRINCIPAL OBLITAS MEJIA,ENRIQUE OSWALDO UBICADO EN MZ. E LOTE 7 LOTIZ./HAB. URB. LA ESTANCIA DEL VALLE III ETAPA, CHICLAYO,PERU CON PARTIDA ELECTRONICA Nº 11369542</t>
  </si>
  <si>
    <t>04/06/2026 RES 05: CONVOCATORIA DE REMATE</t>
  </si>
  <si>
    <t>SE NOTIFICA A CLIENTE EN SU VIVIENDA EN LA MOLINA ATIENDE HIJO , MENCIONA QUE DARA MENSAJE A TITULAR</t>
  </si>
  <si>
    <t>ORMEÑO VARGAS, JESUS BRAYAN</t>
  </si>
  <si>
    <t>107024101005795370</t>
  </si>
  <si>
    <t>27,440,14</t>
  </si>
  <si>
    <t>00089-2025-11-1866-JP-CI-02</t>
  </si>
  <si>
    <t>00089-2025-0-1809-JP-CI-02</t>
  </si>
  <si>
    <t>LA TOTALIDAD DEL BIEN VEHICULAR DEL TITULAR MODELO AC540, AÑO 2007 MARCA HYUNDAI, PLACA A1F762, PARTIDA 51804578</t>
  </si>
  <si>
    <t>04/11/2025RES 02: AUTO FINAL</t>
  </si>
  <si>
    <t>PAREDES RODRIGUEZ, FRANCISCO</t>
  </si>
  <si>
    <t>107074101001120997</t>
  </si>
  <si>
    <t>32,000.00</t>
  </si>
  <si>
    <t>28510-2024-0-1828-JR-CO-13</t>
  </si>
  <si>
    <t>22/05/2026 RES 05: CONSENTIDO EL AUTO FINAL</t>
  </si>
  <si>
    <t>SE NOTIFICA A CLIENTE EN SU VIVIENDA 2 PISOS AZUL PRIMER PISO Y SEGUNDO SIN PINTAR</t>
  </si>
  <si>
    <t>PEDRERA DE LA CRUZ, MARIA ADELINA</t>
  </si>
  <si>
    <t>107074101000994919</t>
  </si>
  <si>
    <t>28,266.64</t>
  </si>
  <si>
    <t>10666-2025-0-1828-JR-CO-14</t>
  </si>
  <si>
    <t>ASENTAMIENTO HUMANO FELIPE ALVA Y ALVA MZ K LOTE 7, DISTRITO DE SAN JUAN DE MIRAFLORES, PROVINCIA Y DEPARTAMENTO DE LIMA</t>
  </si>
  <si>
    <t>26/08/2025RES 02: NOTIFIQUESE A TODAS LAS PARTES</t>
  </si>
  <si>
    <t>PLETIKOSIC GUZMAN, LUIS ALVARO</t>
  </si>
  <si>
    <t>107074101001652404</t>
  </si>
  <si>
    <t>61,027,93</t>
  </si>
  <si>
    <t>9°JUZGADO CIVIL-COMERCIAL DE LIMA</t>
  </si>
  <si>
    <t>29565-2025-26-1828-JR-CO-09</t>
  </si>
  <si>
    <t>LA TOTALIDAD DEL BIEN QUE LE CORRESPONDE AL TITULAR EN LA PARTIDA 49003398, UBICADO EN JR CORONEL MARCELINO VARELA Nº113 DPTO 303, LA VICTORIA, LIMA, LIMA</t>
  </si>
  <si>
    <t>SE NOTIFICA A CLIENTE EN SU VIVIENDA SE DEJA EN RECEPCION EDIFICIO 18 PISOS EN MIRAFLORES</t>
  </si>
  <si>
    <t>QUIÑONES ALBERTO, FRANCISCO REYNALDO</t>
  </si>
  <si>
    <t>107074101001781801</t>
  </si>
  <si>
    <t>15,854,10</t>
  </si>
  <si>
    <t>03699-2024-46-1866-JP-C-03</t>
  </si>
  <si>
    <t>03699-2024-0-1809-JP-CI-03</t>
  </si>
  <si>
    <t>LA TOTALIDAD DEL INMUEBLE DEL FIADOR QUIÑONES ALBERTO CRISTINA ESTHER, P: P03281927, UBICADO EN POSESION INFORMAL ASOCIACION DE VIVIENDA SANTA ROSA DE LLANAVILLA MZ C LT 14, VILLA EL SALVADOR, LIMA</t>
  </si>
  <si>
    <t>27/05/2025 RES 04: AUTO FINAL</t>
  </si>
  <si>
    <t>SE NOTIFICA A CLIENTE EN SU VIVIENDA DE AVAL Y TITULAR CASA 3 PISOS COLOR BLANCO BODEGA, CLIENTES RE</t>
  </si>
  <si>
    <t>REPUESTOS ABAMAC E.I.R.L</t>
  </si>
  <si>
    <t>107074101001612541</t>
  </si>
  <si>
    <t>67,887,21</t>
  </si>
  <si>
    <t>25521-2024-46-1828-JR-CO-11</t>
  </si>
  <si>
    <t>586985 (CC. DE COMERCIALES)</t>
  </si>
  <si>
    <t>25521-2024-0-1817-JR-CO-11</t>
  </si>
  <si>
    <t>TOTALIDAD DEL VEHICULO DE LOS FIADORES MANCO PARDO EDGAR WILSON Y ABANTO MACHUCA LUZ MARIA, P: 54263457, PLACA BRB330, MARCA TOYOTA, MODELO AVANZA, AÑO 2020, COLOR METALICO</t>
  </si>
  <si>
    <t>01/04/2025RES 02: AUTO FINAL</t>
  </si>
  <si>
    <t>RIVCAL SAC</t>
  </si>
  <si>
    <t>107074101001154754</t>
  </si>
  <si>
    <t>162,568.39</t>
  </si>
  <si>
    <t>00006-2023-0-3005-JR-CO-01</t>
  </si>
  <si>
    <t>16/06/2025RES. 03 REPROGRAMAR VISTA DE CAUSA</t>
  </si>
  <si>
    <t>SE NOTIFICA A CLIENTE EN SU VIVIENDA 2 PISOS COLOR CREMA</t>
  </si>
  <si>
    <t>SALAZAR REYNOSO, KAREN MARIELENA</t>
  </si>
  <si>
    <t>107024101005602791</t>
  </si>
  <si>
    <t>39,293,73</t>
  </si>
  <si>
    <t>3 JUZGADO CIVIL COMERCIAL DE LIMA</t>
  </si>
  <si>
    <t>02199-2025-0-1828-JR-CO-03</t>
  </si>
  <si>
    <t>PROYECTO PILOTO NUEVO PACHACUTEC MZ M2 LT 12, SECTOR D, GRUPO RESIDENCIAL D2, VENTANILLA, CALLAO, LIMA cuyo dominio corre inscrito en la partida electrónica N° P01299930</t>
  </si>
  <si>
    <t>17/06/2026 RES 04: CONTINUA CON LA SUSPENCION DEL PROCESO POR CONVENIO</t>
  </si>
  <si>
    <t>SALOME VEGAZO, ANGELA JANET</t>
  </si>
  <si>
    <t>107024101005716000</t>
  </si>
  <si>
    <t>27,636,22</t>
  </si>
  <si>
    <t>00322-2024-10-3002-JP-CI-02</t>
  </si>
  <si>
    <t>00322-2024-0-3002-JP-CI-02</t>
  </si>
  <si>
    <t>TOTALIDAD DEL BIEN DE LA SOCIEDAD CONYUGAL DERODRIGUEZ MAYO VICTOR FILOMENO Y QUIÑONES MARTEL ROSA VICTORIA, P: P13154431, UBICADO EN VIVIENDA #7 (UI7) 1,2 Y 3 PISO UBICADO EN SOBRE EL INMUEBLE MATRIZ QUE TIENE FRENTE A LA AV. MARCO PUENTE LLANOS, SUB.. LT. N 3B DE LA MZ. L, URB BARBADILLO, ATE, LIMA.</t>
  </si>
  <si>
    <t>28/05/2026 ESCRITO: SOLICITO AUTO FINAL</t>
  </si>
  <si>
    <t>SE NOTIFICA A CLIENTE EN SU VIVIENDA 2 PISOS COLOR AZUL SE NOTIFICA EMBARGO</t>
  </si>
  <si>
    <t>SANCHEZ SUAREZ, GERALDIN ARIANA</t>
  </si>
  <si>
    <t>107024101005245572</t>
  </si>
  <si>
    <t>24,294.92</t>
  </si>
  <si>
    <t>10286-2025-0-1828-JR-CO-17</t>
  </si>
  <si>
    <t>CENTRO POBLADO MENOR AUGUSTO B. LEGUIA MZ M2 LOTE 8, DISTRITO DE NUEVO IMPERIAL, PROVINCIA DE CAÑETE Y DEPARTAMENTO DE LIMA.</t>
  </si>
  <si>
    <t>19/06/2026 RES 04: EXPIDASE LAS COPIAS CERTIFICADAS</t>
  </si>
  <si>
    <t>SE NOTIFICA A CLIENTE EN SU VIVIENDA CASA 2 PISOS BLANCO</t>
  </si>
  <si>
    <t>SHULCAN.COM E.I.R.L.</t>
  </si>
  <si>
    <t>107074101001158944</t>
  </si>
  <si>
    <t>340,355.39</t>
  </si>
  <si>
    <t>10286-2023-0-1817-JR-CO-10</t>
  </si>
  <si>
    <t>24/04/2024RES 04: CONSENTIDA Y REQUERIDA</t>
  </si>
  <si>
    <t>SE NOTIFICA A CLIENTE EN SU VIVIENDA 1 PISO BLANCO NO ATIENDEN NADIE SE DEJA BAJO PUERTA</t>
  </si>
  <si>
    <t>TIERRA DE FUEGO &amp; GRUPO MONTENEGRO S.A.C.</t>
  </si>
  <si>
    <t>107074101001129019</t>
  </si>
  <si>
    <t>18,995.52</t>
  </si>
  <si>
    <t>2 JUZGADO DE PAZ LETRADO LA VICTORIA</t>
  </si>
  <si>
    <t>00749-2023-52-1814-JP-CO-02</t>
  </si>
  <si>
    <t>00749-2023-0-1814-JP-CO-02</t>
  </si>
  <si>
    <t>ACCIONES Y DERECHOS DEL INMUEBLE QUE LE CORRESPONDEN AL AVAL RUDECINDO MONTENEGRO TORRES, NMRO DE PARTIDA 14491011, CON DIRECCIÓN CALLE VENTURA CCALAMAQUI NMRO 105, DEPARTAMENTO 201 - SEGUNDO PISO, URBANIZACIÓN PANDO, SAN MIGUEL-</t>
  </si>
  <si>
    <t>09/06/2026 ESCRITO: INICIO DE EJECUCION FORZADA</t>
  </si>
  <si>
    <t>SE NOTIFICA A CLIENTE EN EN POLVOS AZULES PUESTO</t>
  </si>
  <si>
    <t>VILCAPOMA CANCHANYA, NICANOR JUAN</t>
  </si>
  <si>
    <t>107074101002183842</t>
  </si>
  <si>
    <t>36,775.56</t>
  </si>
  <si>
    <t>03877-2025-49-1866-JP-CI-02</t>
  </si>
  <si>
    <t>03877-2025-0-1809-JP-CI-02</t>
  </si>
  <si>
    <t>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t>
  </si>
  <si>
    <t>YAÑAC TUNQUE, ELVA</t>
  </si>
  <si>
    <t>107074101000624876</t>
  </si>
  <si>
    <t>61,249.01</t>
  </si>
  <si>
    <t>04843-2021-0-1817-JR-CO-04</t>
  </si>
  <si>
    <t>PUEBLO JOVEN LAS DUNAS DE SURCO, MANZANA B, LOTE 16, DISTRITO DE SANTIAGO DE SURCO, PROVINCIA Y DEPARTAMENTO DE LIMA, PARTIDA ELECTRONICA N° P03164627 DEL REGISTRO DE PREDIOS-DE LA OFICINA REGISTRAL DE LIMA-ZONA REGISTRAL N° XI-SEDE LIMA-OFICINA REGISTRAL LIMA</t>
  </si>
  <si>
    <t>12/09/2024RES 07: APERSONADO</t>
  </si>
  <si>
    <t>CHAVEZ HUAMAN, ELLIOT JEFFREY</t>
  </si>
  <si>
    <t>107074101002209536</t>
  </si>
  <si>
    <t>00004-2026-74-3002-JP-CI-02</t>
  </si>
  <si>
    <t>TOTALIDAD DEL BIEN MUEBLE QUE LE CORRESPONDE AL FIADOR CORTEZ SOTO, NORMA ALICIA, DEL BIEN MUEBLE VEHICULAR CON PLACA CSN046, MARCA MITSUBISHI FUSO, MODELO MF100, AÑO 2025, COLOR ROJO/AMARILLO/BLANCO/NEGRO, INSCRITO EN LA PARTIDA ELECTRONICA N°55415114 DEL REGISTRO DE PROPIEDAD VEHICULAR.</t>
  </si>
  <si>
    <t>HUIZA YUCRA, AURELIO RONALD</t>
  </si>
  <si>
    <t>107180101000770991</t>
  </si>
  <si>
    <t>44,242.65</t>
  </si>
  <si>
    <t>00028-2026-1-3002-JP-CI-02</t>
  </si>
  <si>
    <t>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t>
  </si>
  <si>
    <t>ARELLANO ALEJO, RUTH MERY</t>
  </si>
  <si>
    <t>107180101000857428</t>
  </si>
  <si>
    <t>29,182.81</t>
  </si>
  <si>
    <t>00029-2026-28-3002-JP-CI-02</t>
  </si>
  <si>
    <t>LA TOTALIDAD DEL BIEN QUE LE CORRESPONDEN AL FIADOR ALEJO RACACHA ANTONIA, DEL BIEN INMUEBLE UBICADO EN ASOCIACION DE PROPIETARIOS URBANIZACION GANIMEDES MZ C LOTE 32, DPTO: LIMA, PROV: LIMA DIST: SAN JUAN DE LURIGANCHO, INSCRITO EN LA PARTIDA ELECTRÓNICA N° P02171522</t>
  </si>
  <si>
    <t>AUQUE ESCAJADILLO, ELIZABETH LOURDES</t>
  </si>
  <si>
    <t>107178101001166437</t>
  </si>
  <si>
    <t>43,079.43</t>
  </si>
  <si>
    <t>JUZGADO DE PAZ LETRADO DE VILLA MARIA DEL TRIUNFO</t>
  </si>
  <si>
    <t>00032-2026-30-3001-JP-CI-01</t>
  </si>
  <si>
    <t>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 ESTAMOS EN 2 RANGO</t>
  </si>
  <si>
    <t>LEON SAAVEDRA, VICTOR MANUEL</t>
  </si>
  <si>
    <t>107147101001245685</t>
  </si>
  <si>
    <t>22,406.01</t>
  </si>
  <si>
    <t>7° JUZGADO CIVIL - COMERCIAL</t>
  </si>
  <si>
    <t>02054-2026-0-1828-JR-CO-07</t>
  </si>
  <si>
    <t>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 45,000.00 (CUARENTA Y CINCO MIL CON 00/100 SOLES)</t>
  </si>
  <si>
    <t>28/05/2026 ESCRITO: AUTO FINAL</t>
  </si>
  <si>
    <t>GONZALES LOZANO, RAQUEL</t>
  </si>
  <si>
    <t>107147101001109846</t>
  </si>
  <si>
    <t>330,308,29</t>
  </si>
  <si>
    <t>14° JUZGADO CIVIL - COMERCIAL</t>
  </si>
  <si>
    <t>02748-2026-66-1828-JR-CO-14</t>
  </si>
  <si>
    <t>02748-2026-0-1817-JR-CO-14</t>
  </si>
  <si>
    <t>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t>
  </si>
  <si>
    <t>08/06/2026 ESCRITO: FORMALIZACION</t>
  </si>
  <si>
    <t>RAMIREZ CORDOVA, SANDY</t>
  </si>
  <si>
    <t>107038101003187584</t>
  </si>
  <si>
    <t>37,226.23</t>
  </si>
  <si>
    <t>00351-2026-42-1866-JP-CI-03</t>
  </si>
  <si>
    <t>00351-2026-0-1809-JP-CI-03</t>
  </si>
  <si>
    <t>LA TOTALIDAD DEL BIEN QUE LE CORRESPONDEN AL FIADOR JAUREGUI DURAND, OSWALDO MARTIN, DEL BIEN INMUEBLE UBICADO EN JIRON PARURO NUMERO 1087 DEPARTAMENTO 303, CERCADO DE LIMA, LIMA, LIMA, INSCRITO EN LA PARTIDA ELECTRÓNICA N° 40376615 DEL REGISTRO DE PROPIEDAD INMUEBLE.</t>
  </si>
  <si>
    <t>28/05/2026 RES 01: ADMITIDA LA FORMALIZACION</t>
  </si>
  <si>
    <t>HUAMAN GONZALO, EULOGIA</t>
  </si>
  <si>
    <t>107038101003380189</t>
  </si>
  <si>
    <t>42,804.7</t>
  </si>
  <si>
    <t>03082-2026-77-1828-JR-CO -01</t>
  </si>
  <si>
    <t>03082-2026-0-1817-JP-CI-01</t>
  </si>
  <si>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</si>
  <si>
    <t xml:space="preserve">08/06/2026 ESCRITO: FORMALIZACION </t>
  </si>
  <si>
    <t>RAMOS VARGAS, GLADYS HELEN</t>
  </si>
  <si>
    <t>107099101001960069</t>
  </si>
  <si>
    <t>40,246.88</t>
  </si>
  <si>
    <t>00639-2026-98-1866-JP-CI-03</t>
  </si>
  <si>
    <t>00639-2026-0-1809-JP-CI-03</t>
  </si>
  <si>
    <t>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t>
  </si>
  <si>
    <t>28/05/2026 RES 01: ADMITIDA FORMALIZACION</t>
  </si>
  <si>
    <t>107038101003494648</t>
  </si>
  <si>
    <t>48,797.98</t>
  </si>
  <si>
    <t>NEVERLAN IMPORT E.I.R.L.</t>
  </si>
  <si>
    <t>107074101002021716</t>
  </si>
  <si>
    <t>93,576.56</t>
  </si>
  <si>
    <t>16º JUZGADO CIVIL-COMERCIAL</t>
  </si>
  <si>
    <t>03822-2026-57-1828-JR-CO-16</t>
  </si>
  <si>
    <t>TOTALIDAD QUE LE CORRESPONDEN AL FIADOR RODRIGUEZ BOHORQUEZ VICTOR HUGO, DEL BIEN INMUEBLE FRENTE A LA CALLE 4 MANZANA E LOTE 12-B, URBANIZACION PORTADA DEL SOL LA MOLIINA, LIMA, LIMA. INSCRITO EN LA PARTIDA ELECTRÓNICA N°12174187 DEL REGISTRO DE PROPIEDAD INMUEBLE</t>
  </si>
  <si>
    <t>18/06/2026 ESCRITO: CONVENIO DE PAGO</t>
  </si>
  <si>
    <t>OLIVERA CASTRO, GIOVANNA JUDITH</t>
  </si>
  <si>
    <t>107074101002094849</t>
  </si>
  <si>
    <t>55,733.8</t>
  </si>
  <si>
    <t>3° JUZGADO CIVIL COMERCIAL</t>
  </si>
  <si>
    <t>03825-2026-25-1828-JR-CO-03</t>
  </si>
  <si>
    <t>03825-2026-0-1817-JR-CO-03</t>
  </si>
  <si>
    <t>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t>
  </si>
  <si>
    <t>22/06/2026 ESCRITO: FORMALIZACION</t>
  </si>
  <si>
    <t>CASTRO RAMIREZ, LUCIA TEODORA</t>
  </si>
  <si>
    <t>107074101002074685</t>
  </si>
  <si>
    <t>40,432.04</t>
  </si>
  <si>
    <t>00705-2026-99-1866-JP-CI-03</t>
  </si>
  <si>
    <t>00705-2026-0-1809-JP-CI-03</t>
  </si>
  <si>
    <t>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t>
  </si>
  <si>
    <t>RODRIGUEZ AREVALO, JAVIER</t>
  </si>
  <si>
    <t>107147101001301349</t>
  </si>
  <si>
    <t>73,131,26</t>
  </si>
  <si>
    <t>04699-2026-56-1828-JR-CO-15</t>
  </si>
  <si>
    <t>04699-2026-56-1817-JR-CO-15</t>
  </si>
  <si>
    <t>LA TOTALIDAD DEL BIEN QUE LE CORRESPONDEN AL FIADOR ROSAS ESPINOZA, ELIAS, DEL BIEN INMUEBLE UBICADO EN MANZANA N LOTE 16 URBANIZACION ESMERALDA SEGUNDA ETAPA, CARABAYLLO, LIMA, LIMA INSCRITO EN LA PARTIDA ELECTRÓNICA N° 13844779 DEL REGISTRO DE PROPIEDAD INMUEBLE.</t>
  </si>
  <si>
    <t>ROSAS ESPINOZA, ELIAS</t>
  </si>
  <si>
    <t>PAREDES CUBAS, AUGUSTO BERNARDINO</t>
  </si>
  <si>
    <t>107172101001216843</t>
  </si>
  <si>
    <t>53,701.43</t>
  </si>
  <si>
    <t>05292-2026-0-1828-JR-CO-16</t>
  </si>
  <si>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</si>
  <si>
    <t>07/04/2026 ESCRITO: ADJUNTO LIQUIDACION DE SALDO DEUDOR</t>
  </si>
  <si>
    <t>PAREDES MEDINA, CESAR AUGUSTO</t>
  </si>
  <si>
    <t>107050101003809125</t>
  </si>
  <si>
    <t>23,107,51</t>
  </si>
  <si>
    <t>107050101003812321</t>
  </si>
  <si>
    <t>32,614,83</t>
  </si>
  <si>
    <t>PAREDES MEDINA, YOSELYN LEONOR</t>
  </si>
  <si>
    <t>107172101001222731</t>
  </si>
  <si>
    <t>39,057.24</t>
  </si>
  <si>
    <t>KIM IMPORT PERU E.I.R.L.</t>
  </si>
  <si>
    <t>107147101001272819</t>
  </si>
  <si>
    <t>73,390.63</t>
  </si>
  <si>
    <t>14º JUZGADO CIVIL-COMERCIAL</t>
  </si>
  <si>
    <t>05459-2026-23-1828-JR-CO-14</t>
  </si>
  <si>
    <t>05459-2026-0-1817-JR-CO-14</t>
  </si>
  <si>
    <t>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t>
  </si>
  <si>
    <t>02/06/2026 ESCRITO: FORMALIZACION</t>
  </si>
  <si>
    <t>GRUPO INTERNACIONAL SAIDA SOCIEDAD ANONIMA CERRADA</t>
  </si>
  <si>
    <t>107038101003471116</t>
  </si>
  <si>
    <t>94,255.77</t>
  </si>
  <si>
    <t>11º JUZGADO CIVIL-COMERCIAL</t>
  </si>
  <si>
    <t>05521-2026-46-1828-JR-CO-11</t>
  </si>
  <si>
    <t>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t>
  </si>
  <si>
    <t>PAYANO VICENTE, RODRIGO ALEXANDER</t>
  </si>
  <si>
    <t>107074101002048448</t>
  </si>
  <si>
    <t>34,747.21</t>
  </si>
  <si>
    <t>00943-2026-53-1866-JP-CI-03</t>
  </si>
  <si>
    <t>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t>
  </si>
  <si>
    <t>LI, WANZHU</t>
  </si>
  <si>
    <t>107038101003470973</t>
  </si>
  <si>
    <t>51,272.87</t>
  </si>
  <si>
    <t>00991-2026-17-1866-JP-CI-03</t>
  </si>
  <si>
    <t>00991-2026-0-1809-JP-CI-03</t>
  </si>
  <si>
    <t>TOTALIDAD QUE LE CORRESPONDEN AL AL FIADOR LI, MIAOZHU, DEL BIEN INMUEBLE UBICADO EN JIRON ROUSSEAU NUMERO 670, URBANIZACION SAN BORJA SUR – III ETAPA, SAN BORJA, LIMA, LIMA, INSCRITO EN LA PARTIDA ELECTRÓNICA N°45562964 DEL REGISTRO DE PROPIEDAD INMUEBLE</t>
  </si>
  <si>
    <t>107038101003356283</t>
  </si>
  <si>
    <t>38,619.26</t>
  </si>
  <si>
    <t>3° JUZGADO DE PAZ LETRADO (SEDE SURCO - SAN BORJA)</t>
  </si>
  <si>
    <t>00447-2026-57-1825-JP-CI-03</t>
  </si>
  <si>
    <t>00447-2026-0-1815-JR-CI-03</t>
  </si>
  <si>
    <t>TOTALIDAD DEL BIEN INMUEBLE QUE LE CORRESPONDE AL FIADOR JAUREGUI DURAND, OSWALDO MARTIN, UBICADO EN JIRON PARURO NUMERO 1087 DEPARTAMENTO 303,CERCADO DE LIMA, LIMA, LIMA, INSCRITO EN LA PARTIDA ELECTRÓNICA N° 40376615 DEL REGISTRO DE PROPIEDAD INMUEBLE.</t>
  </si>
  <si>
    <t>02/06/2026 RES 01: ADMITIDA FORMALIZACION</t>
  </si>
  <si>
    <t>GARCIA REATEGUI, JOSE LUIS</t>
  </si>
  <si>
    <t>107178101000751721</t>
  </si>
  <si>
    <t>24,861,51</t>
  </si>
  <si>
    <t>00080-2026-41-1825-JP-CO-03</t>
  </si>
  <si>
    <t>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t>
  </si>
  <si>
    <t>10/06/2026 ESCRITO: FORMALIZACION</t>
  </si>
  <si>
    <t>INOÑAN REYES, JIMMY ARTURO</t>
  </si>
  <si>
    <t>107099101000976732</t>
  </si>
  <si>
    <t>23,838.65</t>
  </si>
  <si>
    <t>00176-2026-22-3002-JP-CI-02</t>
  </si>
  <si>
    <t>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t>
  </si>
  <si>
    <t>SOTO CABAÑAS, JEAN PIERRE</t>
  </si>
  <si>
    <t>107099101002111096</t>
  </si>
  <si>
    <t>29391.3</t>
  </si>
  <si>
    <t>00102-2026-28-1825-JP-CO-03</t>
  </si>
  <si>
    <t>00102-2026-0-1815-JP-CO-03</t>
  </si>
  <si>
    <t>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t>
  </si>
  <si>
    <t>02/07/2026 RES 02: AUTO FINAL</t>
  </si>
  <si>
    <t>MAGUIÑA GARCIA, PERCY RICHARD</t>
  </si>
  <si>
    <t>107180101000360203</t>
  </si>
  <si>
    <t>67,432.26</t>
  </si>
  <si>
    <t>6º JUZGADO CIVIL-COMERCIAL</t>
  </si>
  <si>
    <t>08316-2026-60-1828-JR-CO-06</t>
  </si>
  <si>
    <t>TOTALIDAD QUE LE CORRESPONDEN AL FIADOR CUADROS GONZALEZ SUSY DUVAL, DEL BIEN INMUEBLE UBICADO EN CALLE OCEANO LOTE 9, ATLANTICO NUMERO 306 – 310, URBANIZACION NEBTUNO, SANTIAGO DE SURCO. INSCRITO EN LA PARTIDA ELECTRÓNICA N°44569116 DEL REGISTRO DE PROPIEDAD INMUEBLE.</t>
  </si>
  <si>
    <t>VELA DASILVA, GLORIA</t>
  </si>
  <si>
    <t>107147101001016154</t>
  </si>
  <si>
    <t>70,970.00</t>
  </si>
  <si>
    <t>03834-2026-0-1828-JR-CO-14</t>
  </si>
  <si>
    <t>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t>
  </si>
  <si>
    <t>22/04/2026 ESCRITO: ADJUNTO LIQUIDACION CON FIRMA ORIGINAL</t>
  </si>
  <si>
    <t>SANTILLAN CABAÑAS, JUAN CARLOS</t>
  </si>
  <si>
    <t>107099101002127368</t>
  </si>
  <si>
    <t>52,126.97</t>
  </si>
  <si>
    <t>00103-2026-5-1825-JP-CO-03</t>
  </si>
  <si>
    <t>00103-2026-0-1815-JP-CO-03</t>
  </si>
  <si>
    <t>TOTALIDAD QUE LE CORRESPONDEN AL TITULAR SANTILLAN CABAÑAS, JUAN CARLOS, DEL BIEN INMUEBLE UBICADO EN PROYECTO INTEGRAL A.H UNIDOS DEL MARGEN IZQUIERDO DE JOSE CARLOS MARIATEGUI MZ M2 LOTE 1, SECTOR SAN MIGUEL ARCANGEL, PARCELA JAPON, SAN JUAN DE MIRAFLORES, LIMA, LIMA INSCRITO EN LA PARTIDA ELECTRÓNICA N° P03205241 DEL REGISTRO DE PROPIEDAD INMUEBLE.</t>
  </si>
  <si>
    <t>03/07/2026 RES 02: AUTO FINAL</t>
  </si>
  <si>
    <t>MONTAÑEZ ACUÑA, ROSMERY</t>
  </si>
  <si>
    <t>107099101001876867</t>
  </si>
  <si>
    <t>56,034.19</t>
  </si>
  <si>
    <t>3º JUZGADO CIVIL-COMERCIAL</t>
  </si>
  <si>
    <t>08310-2026-53-1828-JR-CO-03</t>
  </si>
  <si>
    <t>TOTALIDAD QUE LE CORRESPONDEN AL TITULAR MONTAÑEZ ACUÑA ROSMERY, DEL BIEN INMUEBLE UBICADO EN URBANIZACION VIRGEN DE COCHARCAS MZ G LOTE 32 UNIDAD MOBILIARIA Nº 01, VILLA EL SALVADOR, LIMA, LIMA INSCRITO EN LA PARTIDA ELECTRÓNICA N°P03314992 DEL REGISTRO DE PROPIEDAD INMUEBLE.</t>
  </si>
  <si>
    <t>MOSCOSO ALZAMORA, ANGELA</t>
  </si>
  <si>
    <t>107178101000829157</t>
  </si>
  <si>
    <t>24,047,03</t>
  </si>
  <si>
    <t>00188-2026-80-3002-JP-CI-02</t>
  </si>
  <si>
    <t>TOTALIDAD QUE LE CORRESPONDEN AL FIADOR ALZAMORA GARATE, ROSARIO, DEL BIEN INMUEBLE UBICADO EN PUEBLO JOVEN PAMPLONA ALTA MZ V6 SUB LOTE 25A SECTOR 5 DE MAYO, SAN JUAN DE MIRAFLORES, LIMA, LIMA. INSCRITO EN LA PARTIDA ELECTRÓNICA N° P03331524 DEL REGISTRO DE PROPIEDAD INMUEBLE.</t>
  </si>
  <si>
    <t>107147101001147353</t>
  </si>
  <si>
    <t>43,744.79</t>
  </si>
  <si>
    <t>00122-2026-80-1825-JP-CO-03</t>
  </si>
  <si>
    <t>TOTALIDAD DEL BIEN INMUEBLE QUE LE CORRESPONDE AL TITULAR ROSAS ESPINOZA ELIAS, UBICADO EN MANZANA N LOTE 16, URBANIZACION ESMERALDA SEGUNDA ETAPA CARABAYLLO, LIMA, LIMA INSCRITO EN LA PARTIDA ELECTRÓNICA N° 13844779 DEL REGISTRO DE PROPIEDAD INMUEBLE.</t>
  </si>
  <si>
    <t>TORO CANAL, MILAGROS LUCILA</t>
  </si>
  <si>
    <t>107178101001090998</t>
  </si>
  <si>
    <t>22,259.61</t>
  </si>
  <si>
    <t>01370-2026-95-1866-JP-CI-03</t>
  </si>
  <si>
    <t>01370-2026-0-1809-JP-CI-03</t>
  </si>
  <si>
    <t>TOTALIDAD DEL BIEN QUE LE CORRESPONDEN AL FIADOR CANAL CARRASCO, MANUELA ROSA, DEL BIEN INMUEBLE UBICADO EN PUEBLO JOVEN VILLA EL SALVADOR MZ A LOTE 22 SECTOR PRIMERO, GRUPO RESIDENCIAL 10, VILLA EL SALVADOR, LIMA, LIMA INSCRITO EN LA PARTIDA ELECTRÓNICA N° P03007815 DEL REGISTRO DE PROPIEDAD INMUEBLE.</t>
  </si>
  <si>
    <t>107099101002224944</t>
  </si>
  <si>
    <t>31,148,39</t>
  </si>
  <si>
    <t>00247-2026-98-3002-JP-CI-02</t>
  </si>
  <si>
    <t>EFICIENCIA DINAMICA S.R.L</t>
  </si>
  <si>
    <t>107038101003176580</t>
  </si>
  <si>
    <t>331,584.63</t>
  </si>
  <si>
    <t>17º JUZGADO CIVIL-COMERCIAL</t>
  </si>
  <si>
    <t>11340-2026-1-1828-JR-CO-17</t>
  </si>
  <si>
    <t>11340-2026-0-1817-JR-CO-17</t>
  </si>
  <si>
    <t>1, TOTALIDAD QUE LE CORRESPONDEN AL FIADOR RAMIRES QUISPE, ELODIA, DEL BIEN INMUEBLE UBICADO EN ASENTAMIENTO HUMANO NUEVO PROGRESO MZ I LOTE 23, VENTANILLA, CALLAO, LIMA. INSCRITO EN LA PARTIDA ELECTRÓNICA N°P01227543 DEL REGISTRO DE PROPIEDAD INMUEBLE. 2, TOTALIDAD QUE LE CORRESPONDEN AL FIADOR CHINCHIHUALPA MONTES, EDGAR TEOFILO, DEL BIEN INMUEBLE UBICADO EN LOTE 10 DE LA MANZANA D HABILITACION URBANA DE LA COOPERATIVA DE VIVIENDA PABLO CANEPA LTDA, LA MOLINA, LIMA. INSCRITO EN LA PARTIDA ELECTRÓNICA N° 49026478 DEL REGISTRO DE PROPIEDAD INMUEBLE.</t>
  </si>
  <si>
    <t>03/07/2026 ESCRITO: ABSUELVO CONTRADICCION</t>
  </si>
  <si>
    <t>INVERSIONES B &amp; P DEL PERU S.A.C</t>
  </si>
  <si>
    <t>107038101003375365</t>
  </si>
  <si>
    <t>99,891.04</t>
  </si>
  <si>
    <t>7º JUZGADO CIVIL-COMERCIAL</t>
  </si>
  <si>
    <t>11341-2026-74-1828-JR-CO-07</t>
  </si>
  <si>
    <t>1, LA TOTALIDAD QUE LE CORRESPONDE AL FIADOR SOLIDARIO QUINTANA CAPCHA, WILFREDO PERCY, DEL BIEN INMUEBLE UBICADO EN INSCRIPCION DE REGISTRO DE PREDIOS HABILITACION URBANA CON CONSTRUCCION SIMULTANEA – TIPO 5 – POR ETAPAS, AVENIDA LOS NOGALES NUMERO 251, ESTACIONAMIENTO N° 52, DISTRITO DEL AGUSTINO, INSCRITO EN LA PARTIDA ELECTRÓNICA N° 13680809 DEL REGISTRO DE PROPIEDAD INMUEBLE. 2, E ACCIONES Y DERECHOS QUE LE CORRESPONDEN AL FIADOR SOLIDARIO QUINTANA CAPCHA, WILFREDO PERCY, DEL BIEN INMUEBLE UBICADO EN INSCRIPCION DE REGISTRO DE PREDIOS,DEPARTAMENTO N°907, TORRE 1 – HABILITACION URBANA CON CONSTRUCCION SIMULTANEA – TIPO 5 – POR ETAPAS, AVENIDA LOS NOGALES N°251, DISTRITO DEL AGUSTINO, INSCRITO EN LA PARTIDA ELECTRÓNICA N° 13681375 DEL REGISTRO DE PROPIEDAD INMUEBLE.</t>
  </si>
  <si>
    <t>PAQUICO ACHACO, TEODOSIA FRANCISCA</t>
  </si>
  <si>
    <t>107038101003341883</t>
  </si>
  <si>
    <t>34,526.18</t>
  </si>
  <si>
    <t>00805-2026-62-1825-JP-CI-03</t>
  </si>
  <si>
    <t>1.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P06292826. 2.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P06292827 DEL REGISTRO DE PROPIEDAD INMUEBLE.</t>
  </si>
  <si>
    <t>MORENO YUNGAGALLO, MOISES OSCAR</t>
  </si>
  <si>
    <t>107178101001012449</t>
  </si>
  <si>
    <t>31,940.26</t>
  </si>
  <si>
    <t>00259-2026-60-3002-JP-CI-02</t>
  </si>
  <si>
    <t>ACCIONES Y DERECHOS QUE LE CORRESPONDE AL TITULAR MORENO YUNGAGALLO, MOISES OSCAR, DEL BIEN INMUEBLE UBICADO EN PLAN INTEGRAL PAMPAS DE SAN JUAN MZ E LOTE 22, PUEBLO JOVEN TREBOL AZUL, SAN JUAN DE MIRAFLORES, LIMA, LIMA INSCRITO EN LA PARTIDA ELECTRÓNICA N° P03106751 DEL REGISTRO DE PROPIEDAD INMUEBLE,</t>
  </si>
  <si>
    <t>si</t>
  </si>
  <si>
    <t>GRUPO MILU GP SOCIEDAD ANONIMA CERRADA - GRUPO MILU GP S.A.C.</t>
  </si>
  <si>
    <t>107038101003359561</t>
  </si>
  <si>
    <t xml:space="preserve">26,768.13
</t>
  </si>
  <si>
    <t>01124-2026-39-1825-JP-CI-03</t>
  </si>
  <si>
    <t xml:space="preserve">LA TOTALIDAD QUE LE CORRESPONDEN  AL FIADOR, PEÑA QUISPE MARISOL DEL BIEN MUEBLE VEHICULAR CON PLACA BRH420, MARCA FORD, MODELO ECOSPORT, AÑO 2020, COLOR NEGRO, INSCRITO EN LA PARTIDA ELECTRÓNICA N°54281795 DEL REGISTRO DE PROPIEDAD VEHICULAR </t>
  </si>
  <si>
    <t>PEREZ NICOLAS, DIONICIO ESTANISLAO</t>
  </si>
  <si>
    <t>107146101001123916</t>
  </si>
  <si>
    <t>19,655.55</t>
  </si>
  <si>
    <t>00284-2026-91-1825-JP-CO-03</t>
  </si>
  <si>
    <t>SOBRE LA TOTALIDAD DEL BIEN INMUEBLE DE LA SOCIEDAD CONYUGAL CONFORMADA POR PEREZ NICOLAS, DIONICIO ESTANISLAO (DNI 18083735) y FARRO CACHAY, MARY CARMEN (DNI 40820037), DEL BIEN INMUEBLE UBICADO EN ASENTAMIENTO HUMANO JOSE CARLOS MARIATEGUI - AMPLIACION V ETAPA MZ W31 LOTE 6 PARCELA 2, SECTOR AMPLIACION W3, SAN JUAN DE LURIGANCHO, LIMA, LIMA, INSCRITO EN LA PARTIDA ELECTRÓNICA N° P02159313 DEL REGISTRO DE PROPIEDAD INMUEBLE</t>
  </si>
  <si>
    <t>107074101002247750</t>
  </si>
  <si>
    <t xml:space="preserve">103,698.67 </t>
  </si>
  <si>
    <t>12º JUZGADO CIVIL-COMERCIAL</t>
  </si>
  <si>
    <t>17790-2026-86-1828-JR-CO-12</t>
  </si>
  <si>
    <t>LAS ACCIONES Y DERECHOS QUE LE CORRESPONDEN A LOS FIADORES MARCHENA VALVERDE EDGAR HUGO CON DNI 08169986 Y MARCHENA VALVERDE MIGUEL ANGEL CON DNI 41356645, DEL BIEN INMUEBLE UBICADO EN ASENTAMIENTO HUMANO PAMPA SAN JUAN DE AMANCAES MZ 16B LOTE 6, DISTRITO EL RIMAC, LIMA,LIMA INSCRITO EN LA PARTIDA ELECTRÓNICA N° P02059712 DEL REGISTRO DE PROPIEDAD INMUEBLE</t>
  </si>
  <si>
    <t>VELASQUEZ BARBOZA, JUAN CARLOS</t>
  </si>
  <si>
    <t>107147101001329068</t>
  </si>
  <si>
    <t>18,587.84</t>
  </si>
  <si>
    <t>00299-2026-19-1825-JP-CO-03</t>
  </si>
  <si>
    <t>LA TOTALIDAD QUE LE CORRESPONDEN AL TITULAR VELASQUEZ BARBOZA, JUAN CARLOS (DNI 09880450) DEL BIEN MUEBLE VEHICULAR CON PLACA F4S049, MARCA KIA, MODELO CERATO, AÑO 2014, COLOR PLATA BRILLANTE, INSCRITO EN LA PARTIDA ELECTRÓNICA N° 52787276 DEL REGISTRO DE PROPIEDAD VEHICULAR</t>
  </si>
  <si>
    <t>VEHICULO</t>
  </si>
  <si>
    <t>107178101000984256</t>
  </si>
  <si>
    <t xml:space="preserve">31,920.28 </t>
  </si>
  <si>
    <t>00300-2026-9-1825-JP-CO-03</t>
  </si>
  <si>
    <t>SOBRE LA TOTALIDAD DE ACCIONES Y DERECHOS QUE LE CORRESPONDEN A LOS TITULARES AUQUI RUIZ, PETER (DNI 47087954) Y CAMA ARROYO, MANUELA (DNI 43405412), DEL BIEN INMUEBLE UBICADO EN ASENTAMIENTO HUMANO CENTRO POBLADO RURAL BUENA VISTA MZ A LOTE 24 LURIN, LIMA, LIMA INSCRITO EN LA PARTIDA ELECTRÓNICA N° P03287658  DEL REGISTRO DE PROPIEDAD INMUEBLE.</t>
  </si>
  <si>
    <t>AG. MAGDALENA DEL MAR</t>
  </si>
  <si>
    <t>AGUIRRE OJEDA, DIEGO FERNANDO</t>
  </si>
  <si>
    <t>107146101001154209</t>
  </si>
  <si>
    <t>146000009663</t>
  </si>
  <si>
    <t>S/ 54,918.96</t>
  </si>
  <si>
    <t>21509-2025-0-1828-JR-CO-07</t>
  </si>
  <si>
    <t xml:space="preserve">06/05/2026: Se consiente auto final </t>
  </si>
  <si>
    <t>BARACCO HUARCAYA, RENZO</t>
  </si>
  <si>
    <t>107146101001077930</t>
  </si>
  <si>
    <t>146000009022</t>
  </si>
  <si>
    <t>S/ 18,081.12</t>
  </si>
  <si>
    <t>00473-2024-80-3002-JP-CI-02</t>
  </si>
  <si>
    <t>00473-2024-0-3002-JP-CI-02</t>
  </si>
  <si>
    <t>RETENCIÓN DE HABERES (REMUNERACIONES) Y CUENTAS BANCARIAS</t>
  </si>
  <si>
    <t>17/04/2026: Se solicitó se disponega el endoso del monto abonado por el demandado.</t>
  </si>
  <si>
    <t>REMUNERACIONES Y CUENTA DE AHORRO</t>
  </si>
  <si>
    <t>Se envió mensaje a cliente, con un recordatorio de su convenio.</t>
  </si>
  <si>
    <t>BARTRA MULLUHUARA, ERLIN LAYONNELL</t>
  </si>
  <si>
    <t>107205101000134674</t>
  </si>
  <si>
    <t>20500001202</t>
  </si>
  <si>
    <t>S/ 80,451.46</t>
  </si>
  <si>
    <t>23409-2025-0-1828-JR-CO-04</t>
  </si>
  <si>
    <t>28/04/2026: Estese a lo resuelto en la Res 05.(Consentimiento de auto final)</t>
  </si>
  <si>
    <t>CAMPOS CUELLAR, CIRO CALLS</t>
  </si>
  <si>
    <t>107051101002657514</t>
  </si>
  <si>
    <t>S/ 91,379.69</t>
  </si>
  <si>
    <t>23408-2025-0-1828-JR-CO-05</t>
  </si>
  <si>
    <t xml:space="preserve">18/05/2026: Se ordena llevar a cabo ejecución forzada </t>
  </si>
  <si>
    <t xml:space="preserve">se visitó al cliente </t>
  </si>
  <si>
    <t>CHIPANA CRISTOBAL VDA DE CRUZ, IRENE PELAYA</t>
  </si>
  <si>
    <t>107146101001121100</t>
  </si>
  <si>
    <t>146000009378</t>
  </si>
  <si>
    <t>S/ 53,009.94</t>
  </si>
  <si>
    <t>04395-2025-75-1866-JP-CI-03</t>
  </si>
  <si>
    <t>TOTALIDAD DE ACCIONES Y DERECHOS QUE LE CORRESPONDEN AL TITULAR CHIPANA CRISTOBAL VDA DE CRUZ, IRENE PELAYO, UBICADO EN ASOCIACION PRO VIVIENDA INCA MANCO CAPAC (1ERA ETAPA) MZ G- V LOTE 3, SAN JUAN DE LURIGANCHO,LIMA,LIMA INSCRITO EN LA PARTIDA ELECTRONICA Nº P02140504 DEL REGISTRO DE PROPIEDAD INMUEBLE</t>
  </si>
  <si>
    <t>COMERCIAL JE &amp; LU E.I.R.L.</t>
  </si>
  <si>
    <t>107146101000306655</t>
  </si>
  <si>
    <t>146000002752</t>
  </si>
  <si>
    <t>S/ 161,008.69</t>
  </si>
  <si>
    <t>08915-2023-83-1817-JR-CO-11</t>
  </si>
  <si>
    <t>CC: 502746</t>
  </si>
  <si>
    <t>08915-2023-0-1817-JR-CO-11</t>
  </si>
  <si>
    <t>EJECUCION FORZADA</t>
  </si>
  <si>
    <t>ACCIONES Y DERECHOS (50%) DE LOS AVALES RODRIGUEZ CORDOVA JEYMI Y LIVIAS ALARCON EDWIN LEONCIO. P. ELECTRONICA: 40337474. UBICACION: LOCAL 145-M MEZANINE - JIRON PLAZA MARISCAL CASTILLA N 87, CERCADO DE LIMA.</t>
  </si>
  <si>
    <t>17/04/2026: Se solicitó se declare consentido la Res. 5 y se inicie la ejecución forzada.</t>
  </si>
  <si>
    <t>CUYA GONZALES, ANGEL EDUARDO</t>
  </si>
  <si>
    <t>107146101000605085</t>
  </si>
  <si>
    <t>146000005112</t>
  </si>
  <si>
    <t>S/ 10,681.77</t>
  </si>
  <si>
    <t>10° JUZGADO DE PAZ LETRADO SEDE PUNO Y CARABAYA</t>
  </si>
  <si>
    <t>01150-2023-48-1801-JP-CI-10</t>
  </si>
  <si>
    <t>CC: 256557</t>
  </si>
  <si>
    <t>01150-2023-0-1801-JP-CI-10</t>
  </si>
  <si>
    <t>TOTALIDAD DEL BIEN INMUEBLE (1 RANGO) CORRESPONDIENTE A LA SOCIEDAD CONYUGAL</t>
  </si>
  <si>
    <t>17/04/2026: Se solicitó se declare consentido la Res. 2 y se inicie la ejecución forzada.</t>
  </si>
  <si>
    <t>CUYA VEGA, RUBEN</t>
  </si>
  <si>
    <t>107146101000610415</t>
  </si>
  <si>
    <t>146000005155</t>
  </si>
  <si>
    <t>S/ 30,327.81</t>
  </si>
  <si>
    <t>00972-2023-87-1801-JP-CI-10</t>
  </si>
  <si>
    <t>CC: 176900</t>
  </si>
  <si>
    <t>00972-2023-0-1801-JP-CI-10</t>
  </si>
  <si>
    <t>se visito al cliente</t>
  </si>
  <si>
    <t>107146101000664456</t>
  </si>
  <si>
    <t>146000005574</t>
  </si>
  <si>
    <t>DURAN MOSCOSO, EMILIO</t>
  </si>
  <si>
    <t>107146101000293935</t>
  </si>
  <si>
    <t>146000002638</t>
  </si>
  <si>
    <t>S/ 87,067.94</t>
  </si>
  <si>
    <t>8° JUZGADO COMERCIAL DE LIMA</t>
  </si>
  <si>
    <t>24750-2025-0-1828-JR-CO-08</t>
  </si>
  <si>
    <t>25/05/2026: Se solicita ampliación de plazo sobre requerimiento hecho por juez de miembros de sucesión intestada</t>
  </si>
  <si>
    <t>HUANCA GREGORIO, ANGELINA YOVANA</t>
  </si>
  <si>
    <t>107146101000826096</t>
  </si>
  <si>
    <t>146000008534</t>
  </si>
  <si>
    <t>S/ 89,275.09</t>
  </si>
  <si>
    <t>08632-2024-71-1828-JR-CO-11</t>
  </si>
  <si>
    <t>08632-2024-0-1817-JR-CO-11</t>
  </si>
  <si>
    <t>LA TOTALIDAD DEL BIEN LE CORRESPONDE AL FIADOR REYES GREGORIO ANA MARIA, P: 49001405, UBICADO: TERRENO RUSTICO CONSTITUIDO POR PARTE DEL LT 42 DEL GRUPO K DE LA LOTIZACION DEL FUNDO SAN MIGUEL, DISTR. SAN MIGUEL</t>
  </si>
  <si>
    <t xml:space="preserve">05/05/2026: Se desarchiva caso </t>
  </si>
  <si>
    <t>107146101001026962</t>
  </si>
  <si>
    <t>146000008586</t>
  </si>
  <si>
    <t>QUINTANA MARIN, LUZLINDA VICTORIA</t>
  </si>
  <si>
    <t>107146101001209858</t>
  </si>
  <si>
    <t>146000010132</t>
  </si>
  <si>
    <t>S/ 38,969.37</t>
  </si>
  <si>
    <t>00999-2025-50-3002-JP-CI-02</t>
  </si>
  <si>
    <t>TOTALIDAD DEL BIEN INMUEBLE QUE LE CORRESPONDEN A LOS TITULARES QUINTANA MARIN, LUZLINDA VICTORIA Y BARZOLA MISARI, ADRIAN UBICADO EN ASOCIACION PRO VIVIENDA SAN HILARION MZ. B LOTE 14 ETAPA SEGUNDA, SAN JUAN DE LURIGANCHO, LIMA, LIMA INSCRITO EN LA PARTIDA ELECTRONICA N° P02130624 DEL REGISTRO DE PROPIEDAD INMUEBLE.</t>
  </si>
  <si>
    <t>RAMIREZ MORI, VIVIANA ESTHER</t>
  </si>
  <si>
    <t>107146101001074341</t>
  </si>
  <si>
    <t>146000008984</t>
  </si>
  <si>
    <t>S/ 55,571.75</t>
  </si>
  <si>
    <t>34948-2024-79-1828-JR-CO-04</t>
  </si>
  <si>
    <t>34948-2024-0-1817-JR-CO-04</t>
  </si>
  <si>
    <t>TOTALIDAD DEL INMUEBLE (1 RANGO) QUE LE CORRESPONDE AL TITULAR, UBICADO EN AA.HH PROYECTO INTEGRAL PUCUSANA MZ O LT 4 SECTOR GRANO DE ORO, PUCUSANA, LIMA, LIMA P: P03228792</t>
  </si>
  <si>
    <t>17/04/2026: Se solicitó incio de la ejecución forzada y la designación de peritos.</t>
  </si>
  <si>
    <t>TIMOTEO RIVERA, ZARA VIDICA</t>
  </si>
  <si>
    <t>107146101001188179</t>
  </si>
  <si>
    <t>146000009947</t>
  </si>
  <si>
    <t>S/ 39,009.41</t>
  </si>
  <si>
    <t>03045-2025-40-1866-JP-CI-03</t>
  </si>
  <si>
    <t>03045-2025-0-1809-JP-CI-03</t>
  </si>
  <si>
    <t>LA TOTALIDAD DEL INMUEBLE QUE LE CORRESPONDE AL TITULAR TIMOTEO RIVERA ZARA VIDICA, DEL INMUEBLE UBICADO EN ASENTAMIENTO HUMANO AMPLIACION TIWINSA MZ. 8 LOTE 3, DISTRITO PUENTE PIEDRA, PROVINCIA Y DEPARTAMENTO DE LIMA, INSCRITO EN LA PARTIDA ELECTRONICA Nº P01401487 DEL REGISTRO DE PROPIEDAD INMUEBLE DE LIMA.</t>
  </si>
  <si>
    <t>3° JUZGADO DE PAZ LETRADO (SEDE BARANCO )</t>
  </si>
  <si>
    <t>01599-2026-59-1866JP-CI-03</t>
  </si>
  <si>
    <t xml:space="preserve">LIMA SUR </t>
  </si>
  <si>
    <t xml:space="preserve">JUZGADO DE PAZ LETRADO CIVIL  DE VMT </t>
  </si>
  <si>
    <t>00122-2026-33-3001-JP-CI-01</t>
  </si>
  <si>
    <t>MARICH SOLIZOR, WILDER</t>
  </si>
  <si>
    <t>107146101001060930</t>
  </si>
  <si>
    <t xml:space="preserve">RECUPERABLE </t>
  </si>
  <si>
    <t>03488-2026-57-1828-JR-C0-11</t>
  </si>
  <si>
    <t xml:space="preserve">PRESENTADA </t>
  </si>
  <si>
    <t>ACCIONES Y DERECHOS (0.05631565%) DEL BIEN INMUEBLE QUE LES CORRESPONDE A LOS TITULARES WILDER MARICH SOLIZOR Y BERTHA JOVANA MUÑOZ RICAPA, UBICADO EN LA QUEBRADA AL ESTE DEL ASENTAMIENTO HUMANO "LA ARBOLEDA", DEL DISTRITO DE SANTA ROSA DE LA PROVINCIA Y DEPARTAMENTO DE LIMA; INSCRITO EN LA PARTIDA ELECTRÓNICA N° 13355595 DEL REGISTRO DE PROPIEDAD INMUEBLE.</t>
  </si>
  <si>
    <t>ACCIONES Y DERECHO S</t>
  </si>
  <si>
    <t xml:space="preserve">MEDIO </t>
  </si>
  <si>
    <t>DISTRIBUIDORA INFINITY PRODUCTS S.A.C.</t>
  </si>
  <si>
    <t>107146101001246362</t>
  </si>
  <si>
    <t>00949-2026-44-1866-JP-CI-03</t>
  </si>
  <si>
    <t xml:space="preserve">12/05/2026: Se admite medida cautelar </t>
  </si>
  <si>
    <t>FM FRIMARQ CONSTRUCCIONES S.A.C.</t>
  </si>
  <si>
    <t>107146101001159325</t>
  </si>
  <si>
    <t>01030-2026-64-1866-JP-CI-03</t>
  </si>
  <si>
    <t xml:space="preserve">08/06/2026: Se admite la medida cautelar </t>
  </si>
  <si>
    <t xml:space="preserve">se visito al cliente </t>
  </si>
  <si>
    <t>AG. JESÚS MARÍA</t>
  </si>
  <si>
    <t>ARBAÑIL CORTEZ, MARIELA LUPE</t>
  </si>
  <si>
    <t>107038101002453222</t>
  </si>
  <si>
    <t>14,854,84</t>
  </si>
  <si>
    <t>4 JUZGADO DE PAZ LETRADO DE BARRANCO MIRAFLORES</t>
  </si>
  <si>
    <t>00907-2023-55-1809-JP-CI-04</t>
  </si>
  <si>
    <t>00907-2023-0-1809-JP-CI-04</t>
  </si>
  <si>
    <t>TOTALIDAD DEL INMUEBLE (1 RANGO) DEL TITULAR, P:P03265561, UBICADO EN LA URB. SAN JUAN, PARCELA A MZ. D2 LT, 19 DPTO. 2, SAN JUAN DE MIRAFLORES, LIMA</t>
  </si>
  <si>
    <t>27/04/2026: Se solicitó el consentimiento de auto final</t>
  </si>
  <si>
    <t>CAHUI COILA, MAXIMO</t>
  </si>
  <si>
    <t>107038101003090777</t>
  </si>
  <si>
    <t>35, 460.95</t>
  </si>
  <si>
    <t>05129-2025-77-1866-JP-CI-03</t>
  </si>
  <si>
    <t>TOTALIDAD DEL BIEN QUE LE CORRESPONDE AL TITULAR CAHUI COILA, MAXIMO, DEL BIEN INMUEBLE UBICADO EN VALLE SANTA MARIA/ YASANTAQUEN PARCELA 9_4158260 DISTRITO DE CAPACHICA, PUNO, PUNO, INSCRITO EN LA PARTIDA ELECTRÓNICA N° 11191516 DEL REGISTRO DE PROPIEDAD INMUEBLE.</t>
  </si>
  <si>
    <t>24/03/2026: Emsisión de la RESOLUCION N° 2</t>
  </si>
  <si>
    <t>CONTROL REMOTO CENTAURO S.A.C.</t>
  </si>
  <si>
    <t>107038101002635377</t>
  </si>
  <si>
    <t>26,308.06</t>
  </si>
  <si>
    <t>03200-2025-4-1866-JP-CI-03</t>
  </si>
  <si>
    <t>03200-2025-0-1809-JP-CI-03</t>
  </si>
  <si>
    <t>TOTALIDAD QUE LE CORRESPONDEN AL FIADOR COTRINA ALVARES DEMETRIA, DEL BIEN INMUEBLE UBICADO EN ASENTAMIENTO HUMANO 27 DE MARZO MZ A LOTE 04, INDEPENDENCIA, LIMA, LIMA. INSCRITO EN LA PARTIDA ELECTRONICA N° P01258601.</t>
  </si>
  <si>
    <t>21/04/2026: se emite la Res. 03.</t>
  </si>
  <si>
    <t>se llamó y envió mensaje al cliente</t>
  </si>
  <si>
    <t>CON VOLUNTAD DE PAGO/ SIN CAPACIDAD DE PAGO</t>
  </si>
  <si>
    <t>FUENTES ESTRADA, JAIDI</t>
  </si>
  <si>
    <t>107038101002882581</t>
  </si>
  <si>
    <t>28,087,09</t>
  </si>
  <si>
    <t>03201-2025-70-1866-JP-CI-02</t>
  </si>
  <si>
    <t>03201-2025-0-1809-JP-CI-02</t>
  </si>
  <si>
    <t>107038101003053611</t>
  </si>
  <si>
    <t>27,886.70</t>
  </si>
  <si>
    <t>04981-2025-39-1866-JP-CI-03</t>
  </si>
  <si>
    <t>TOTALIDAD DEL BIEN INMUEBLE QUE LE CORRESPONDE AL TITULAR FUENTES ESTRADA, JAIDI, UBICADO EN ASENTAMIENTO HUMANO PROYECTO INTEGRAL PAMPA SAN JUAN DE AMANCAES PARTE ALTA MZ. A LOTE 4, SECTOR LAS FLORES DE SAN JUAN DE AMANCAES, RIMAC, LIMA, LIMA INSCRITO EN LA PARTIDA ELECTRONICA Nº P02191174</t>
  </si>
  <si>
    <t xml:space="preserve">1 5/05/2026: Se presentó escrito original 19/05/2026: Se acompaña tasa de ofrecimiento de pruebas </t>
  </si>
  <si>
    <t>GARCIA ALCANTARA, ROBER</t>
  </si>
  <si>
    <t>107214101000231187</t>
  </si>
  <si>
    <t>214000002058</t>
  </si>
  <si>
    <t>31,338.90</t>
  </si>
  <si>
    <t>01515-2025-92-1866-JP-CI-03</t>
  </si>
  <si>
    <t>01515-2025-0-1809-JP-CI-03</t>
  </si>
  <si>
    <t>LA TOTALIDAD DEL BIEN QUE LE CORRESPONDE A LA SOCIEDAD CONYUGAL CONFORMADA POR GARCIA ANTONIO RUBEN Y ALCANTARA JIMENEZ SENOVIA, BIEN INMUEBLE UBICADO EN CIUDAD NUEVA MOROCOCHA MZ. R-1 LOTE 1, DISTRITO DE MOROCOCHA, PROVINCIA DE YAULI, DEPARTAMENTO DE JUNIN, INSCRITO EN LA PARTIDA ELECTRONICA N°P41009997 DEL RESGISTRO DE PROPIEDAD INMUEBLE SEDE HUANCAYO.</t>
  </si>
  <si>
    <t xml:space="preserve">08/05/2026 :  Res03 : Se solicita subsanar  </t>
  </si>
  <si>
    <t>GUEVARA VILLALOBOS, JHON LENNIN</t>
  </si>
  <si>
    <t>107214101000113908</t>
  </si>
  <si>
    <t>214000001022</t>
  </si>
  <si>
    <t>28,457.25</t>
  </si>
  <si>
    <t>01596-2025-0-1820-JP-CI-03</t>
  </si>
  <si>
    <t>27/04/2026: ESCRITO SOLICITANDO SE EMITA CONSENTIMIENTO DE AUTO FINAL.</t>
  </si>
  <si>
    <t>INCA ZAMORA, GLADYS GABRIELA</t>
  </si>
  <si>
    <t>107038101002664745</t>
  </si>
  <si>
    <t>26,355.43</t>
  </si>
  <si>
    <t>03025-2025-78-1866-JP-CI-03</t>
  </si>
  <si>
    <t>LAS ACCIONES Y DERECHOS QUE LE CORRESPONDEN AL FIADOR ZAMORA SANTOS, GLADYS, DEL BIEN INMUEBLE UBICADO EN ASENTAMIENTO HUMANO PROYECTO INTEGRAL SIMON BOLIVAR MZ. M LOTE 18 SECTOR INDOAMERCIA, CHORRILLOS,LIMA LIMA INSCRITO EN LA PARTIDA ELECTRONICA Nº P03199344 DEL REGISTRO DE PROPIEDAD INMUEBLE.</t>
  </si>
  <si>
    <t>17/04/2026. SE SOLICITÓ SUBSANAR OBSERVACIONES DE LA ANOTACIÓN DE EMBARGO.</t>
  </si>
  <si>
    <t>INGA PEREZ, UBERTA TEOFILA</t>
  </si>
  <si>
    <t>107146101000045093</t>
  </si>
  <si>
    <t>201,030,05</t>
  </si>
  <si>
    <t>09064-2023-0-1817-JR-CO-03</t>
  </si>
  <si>
    <t>AV. SUCRE 365, DEPARTAMENTO 403 (CUARTO PISO) DISTRITO DE MAGDALENA DEL MAR, PROVINCIA Y DEPARTAMENTO DE LIMA, INSCRITO EN LA PARTIDA ELECTRONICA 11693002 Registro de Propiedad Inmueble de Lima, hipotecado a nuestro favor por la suma ascendente a S/. 304,339.04 SOLES</t>
  </si>
  <si>
    <t>05/02/2026: APERSONAMIENTO</t>
  </si>
  <si>
    <t>OSCCO OSCCO, GISELA SUSANA</t>
  </si>
  <si>
    <t>107038101002140116</t>
  </si>
  <si>
    <t>12,538,14</t>
  </si>
  <si>
    <t>00910-2024-0-3002-JP-CI-02</t>
  </si>
  <si>
    <t>27/04/2026:SE SOLICITÓ CONSENTIMIENTO DE AUTO FINAL</t>
  </si>
  <si>
    <t>AG. SAN ISIDRO</t>
  </si>
  <si>
    <t>ALLCCACO UCHARIMA, DIONISIO</t>
  </si>
  <si>
    <t>107146101000765519</t>
  </si>
  <si>
    <t>146000006324</t>
  </si>
  <si>
    <t>49,747.82</t>
  </si>
  <si>
    <t>03796-2025-74-1866-JP-CI-02</t>
  </si>
  <si>
    <t>03796-2025-0-1809-JP-CI-02</t>
  </si>
  <si>
    <t>TOTALIDAD DEL BIEN QUE LE CORRESPONDEN AL FIADOR HUAMAN AGURTO CLARIZA, DEL BIEN INMUEBLE UBICADO EN PUEBLO JOVEN BARRIO MARGINAL SANTA ROSA MZ. 3 LOTE 5, COMAS, LIMA, LIMA INSCRITO EN LA PARTIDA ELECTRONICA Nº P01062025 DEL REGISTRO DE PROPIEDAD INMUEBLE.</t>
  </si>
  <si>
    <t xml:space="preserve">27/04/26 : Res03: Se realizan observaciones </t>
  </si>
  <si>
    <t>CALDERON MOLINA, RAUL ANTHONY</t>
  </si>
  <si>
    <t>107205101000205158</t>
  </si>
  <si>
    <t>205000001864</t>
  </si>
  <si>
    <t>29,038.97</t>
  </si>
  <si>
    <t>03309-2025-17-1866-JP-CI-03</t>
  </si>
  <si>
    <t>RETENCION DE CUENTAS hasta por la suma de 5/ 29,038.97 (VEINTINUEVE MIL TREINTA Y OCHO CON 97/100 SOLES) SOBRE LAS CUENTAS QUE LE CORRESPONDEN A: CALDERON MOLINA, RAUL ANTHONY Y MOLINA MANZANILLA CARMEN ROSA.</t>
  </si>
  <si>
    <t>24/04/2026 : Res 04:Admisión de  medida cautelar ( todavia no ha sido notificado formalmente)</t>
  </si>
  <si>
    <t>GANOZA LAZARTE, VICTOR PAUL</t>
  </si>
  <si>
    <t>107205101000218592</t>
  </si>
  <si>
    <t>205000001993</t>
  </si>
  <si>
    <t>67,782.78</t>
  </si>
  <si>
    <t>15089-2025-92-1828-JR-CO-16</t>
  </si>
  <si>
    <t>15089-2025-0-1817-JR-CO-16</t>
  </si>
  <si>
    <t>TOTALIDAD QUE LE CORRESPONDEN AL FIADOR COBA BEDIA JESUS EMILIA, DEL BIEN INMUEBLE UBICADO EN ASENTAMIENTO HUMANO MUNICIPAL CHILLON MZ 35 LOTE 4, LOS OLIVOS, LIMA, LIMA. INSCRITO EN LA PARTIDA ELECTRÓNICA N°P01087386</t>
  </si>
  <si>
    <t xml:space="preserve">26/01/ 2026 RES. 01:  Admitida la demanda </t>
  </si>
  <si>
    <t>HUAROTO LOZANO, BERNABE ISMAEL</t>
  </si>
  <si>
    <t>107146101000787888</t>
  </si>
  <si>
    <t>146000006500</t>
  </si>
  <si>
    <t>9,921.56</t>
  </si>
  <si>
    <t>00521-2024-93-1820-JP-CI-04</t>
  </si>
  <si>
    <t>00521-2024-0-1802-JP-CI-03</t>
  </si>
  <si>
    <t>LA TOTALIDAD DEL BIEN DEL FIADOR HUANCA GREGORIO ANGELINA YOVANA, P:70064486, UBICADO: CALLE 9, MZ. E-1, LT. 5 URB LOS PILARES, CALLAO</t>
  </si>
  <si>
    <t xml:space="preserve">20/04/2026:Res 08: Se tenga en cuenta apersonamientos </t>
  </si>
  <si>
    <t>107146101000894346</t>
  </si>
  <si>
    <t>146000007409</t>
  </si>
  <si>
    <t>17,764.46</t>
  </si>
  <si>
    <t>00521-2024-93-1820-JP-CI-03</t>
  </si>
  <si>
    <t>LOPEZ CHINCHAY, SANTOS RENATO</t>
  </si>
  <si>
    <t>107205101000217345</t>
  </si>
  <si>
    <t>205000001981</t>
  </si>
  <si>
    <t>40,125.31</t>
  </si>
  <si>
    <t>00986-2025-46-3002-JP-CI-02</t>
  </si>
  <si>
    <t xml:space="preserve">TOTALIDAD DEL BIEN INMUEBLE QUE LE CORRESPONDE AL TITULAR VASQUEZ GARCIA, MARITZA BERENICE, UBICADO EN URBANIZACION VALDIVIEZO MZ J1 SUB LOTE 26B, SAN MARTIN DE PORRES, LIMA, LIMA.  </t>
  </si>
  <si>
    <t xml:space="preserve">21/01/ 2026:  Res01: Juzgado se decalra incompetente </t>
  </si>
  <si>
    <t>3° JUZGADO DE PAZ LETRADO (SEDE BARRANCO)</t>
  </si>
  <si>
    <t>01792-2026-52-1866-JP-CI-03</t>
  </si>
  <si>
    <t>38 642.50</t>
  </si>
  <si>
    <t>205000002122</t>
  </si>
  <si>
    <t xml:space="preserve">LIMA </t>
  </si>
  <si>
    <t>01593-2026-55-1866-JP-CI-03</t>
  </si>
  <si>
    <t>TAQUIRE RODRIGUEZ, ROSA MAXIMINA ESPERANZA</t>
  </si>
  <si>
    <t>107205101000165050</t>
  </si>
  <si>
    <t>10,527.31</t>
  </si>
  <si>
    <t>28475-2025-0-1828-JR-CO-08</t>
  </si>
  <si>
    <t>PUEBLO JOVEN VILLA EL SALVADOR, MZ I LOTE 16, SECTOR NOVENO, GRUPO RESIDENCIAL 2, VILLA EL SALVADOR, LIMA cuyo dominio corre inscrito en la partida electrónica N° P03150970 del Registro de Propiedad Inmueble de Lima, hipotecado a nuestro favor por la suma ascendente a S/. 120,000.00 (CIENTO VEINTE MIL CON 00/100 SOLES)</t>
  </si>
  <si>
    <t>05/02/2026:  Se adjuntan tasas                     27/01/2026: SE ADJUNTO TESTIMONIO HIPOTECARIO</t>
  </si>
  <si>
    <t>107146101001328181</t>
  </si>
  <si>
    <t>107146101001193640</t>
  </si>
  <si>
    <t>107205101000230691</t>
  </si>
  <si>
    <t>107205101000112943</t>
  </si>
  <si>
    <t>AG. VILLA EL SALVADOR</t>
  </si>
  <si>
    <t>MR. SWING EMPRESA DE SERVICIOS PRODUCCIONES Y PROMOTORA DE ESPECTACULOS E.I.R.L.</t>
  </si>
  <si>
    <t>AUQUI RUIZ, PETER</t>
  </si>
  <si>
    <t>MESIAS DEL AGUILA, JESSICA JACQUELINE</t>
  </si>
  <si>
    <t>MATOS SEBASTIAN, KETH DELCE</t>
  </si>
  <si>
    <t>MARCA SALGADO, ARTURO REYNALDO</t>
  </si>
  <si>
    <t>VANI. ODIOSAS S.A.C.</t>
  </si>
  <si>
    <t>180000000600</t>
  </si>
  <si>
    <t>180000000144</t>
  </si>
  <si>
    <t>180000005717</t>
  </si>
  <si>
    <t>180000004596</t>
  </si>
  <si>
    <t>24000055083</t>
  </si>
  <si>
    <t>180000000387</t>
  </si>
  <si>
    <t>180000005724</t>
  </si>
  <si>
    <t>146000002689</t>
  </si>
  <si>
    <t>180000004938</t>
  </si>
  <si>
    <t>180000003424</t>
  </si>
  <si>
    <t>180000005289</t>
  </si>
  <si>
    <t>180000004638</t>
  </si>
  <si>
    <t>180000004799</t>
  </si>
  <si>
    <t>146000006826</t>
  </si>
  <si>
    <t>180000003803</t>
  </si>
  <si>
    <t>146000002749</t>
  </si>
  <si>
    <t>180000003152</t>
  </si>
  <si>
    <t>180000001997</t>
  </si>
  <si>
    <t>180000004501</t>
  </si>
  <si>
    <t>180000005588</t>
  </si>
  <si>
    <t>24000049943</t>
  </si>
  <si>
    <t>180000005210</t>
  </si>
  <si>
    <t>180000004933</t>
  </si>
  <si>
    <t>38000019522</t>
  </si>
  <si>
    <t>3800020093</t>
  </si>
  <si>
    <t>38000027922</t>
  </si>
  <si>
    <t>38000019686</t>
  </si>
  <si>
    <t>38000019490</t>
  </si>
  <si>
    <t>38000028339</t>
  </si>
  <si>
    <t>38000019832</t>
  </si>
  <si>
    <t>38000027410</t>
  </si>
  <si>
    <t>38000019861</t>
  </si>
  <si>
    <t>38000019503</t>
  </si>
  <si>
    <t>38000019285</t>
  </si>
  <si>
    <t>38000026331</t>
  </si>
  <si>
    <t>38000019851</t>
  </si>
  <si>
    <t>38000022561</t>
  </si>
  <si>
    <t>38000030491</t>
  </si>
  <si>
    <t>38000019399</t>
  </si>
  <si>
    <t>38000019552</t>
  </si>
  <si>
    <t>38000020231</t>
  </si>
  <si>
    <t>38000019609</t>
  </si>
  <si>
    <t>38000019274</t>
  </si>
  <si>
    <t>38000026026</t>
  </si>
  <si>
    <t>38000019891</t>
  </si>
  <si>
    <t>38000019561</t>
  </si>
  <si>
    <t>38000019306</t>
  </si>
  <si>
    <t>38000020258</t>
  </si>
  <si>
    <t>38000019871</t>
  </si>
  <si>
    <t>38000019847</t>
  </si>
  <si>
    <t>38000026732</t>
  </si>
  <si>
    <t>38000022513</t>
  </si>
  <si>
    <t>38000019690</t>
  </si>
  <si>
    <t>38000025672</t>
  </si>
  <si>
    <t>38000019483</t>
  </si>
  <si>
    <t>38000019308</t>
  </si>
  <si>
    <t>38000023392</t>
  </si>
  <si>
    <t>38000021732</t>
  </si>
  <si>
    <t>38000025266</t>
  </si>
  <si>
    <t>38000019904</t>
  </si>
  <si>
    <t>38000019759</t>
  </si>
  <si>
    <t>38000019395</t>
  </si>
  <si>
    <t>38000020062</t>
  </si>
  <si>
    <t>38000023407</t>
  </si>
  <si>
    <t>38000020094</t>
  </si>
  <si>
    <t>38000019499</t>
  </si>
  <si>
    <t>38000026551</t>
  </si>
  <si>
    <t>38000020025</t>
  </si>
  <si>
    <t>38000029123</t>
  </si>
  <si>
    <t>51000024334</t>
  </si>
  <si>
    <t>38000019797</t>
  </si>
  <si>
    <t>38000027706</t>
  </si>
  <si>
    <t>38000022690</t>
  </si>
  <si>
    <t>38000020095</t>
  </si>
  <si>
    <t>38000019433</t>
  </si>
  <si>
    <t>38000018000</t>
  </si>
  <si>
    <t>38000019302</t>
  </si>
  <si>
    <t>38000030269</t>
  </si>
  <si>
    <t>38000021566</t>
  </si>
  <si>
    <t>38000019671</t>
  </si>
  <si>
    <t>38000027537</t>
  </si>
  <si>
    <t>38000030544</t>
  </si>
  <si>
    <t>38000025232</t>
  </si>
  <si>
    <t>38000027911</t>
  </si>
  <si>
    <t>38000019777</t>
  </si>
  <si>
    <t>38000019545</t>
  </si>
  <si>
    <t>38000024781</t>
  </si>
  <si>
    <t>38000024670</t>
  </si>
  <si>
    <t>38000020111</t>
  </si>
  <si>
    <t>38000021978</t>
  </si>
  <si>
    <t>147000008448</t>
  </si>
  <si>
    <t>147000008076</t>
  </si>
  <si>
    <t>14700004560</t>
  </si>
  <si>
    <t>147000001981</t>
  </si>
  <si>
    <t>147000010863</t>
  </si>
  <si>
    <t>147000001859</t>
  </si>
  <si>
    <t>147000001834</t>
  </si>
  <si>
    <t>147000001785</t>
  </si>
  <si>
    <t>147000001992</t>
  </si>
  <si>
    <t>147000008091</t>
  </si>
  <si>
    <t>147000006275</t>
  </si>
  <si>
    <t>147000001892</t>
  </si>
  <si>
    <t>147000007015</t>
  </si>
  <si>
    <t>147000001898</t>
  </si>
  <si>
    <t>147000002016</t>
  </si>
  <si>
    <t>147000005261</t>
  </si>
  <si>
    <t>147000005344</t>
  </si>
  <si>
    <t>147000006206</t>
  </si>
  <si>
    <t>147000000676</t>
  </si>
  <si>
    <t>147000005081</t>
  </si>
  <si>
    <t>147000007830</t>
  </si>
  <si>
    <t>147000007234</t>
  </si>
  <si>
    <t>147000006675</t>
  </si>
  <si>
    <t>147000002236</t>
  </si>
  <si>
    <t>147000011508</t>
  </si>
  <si>
    <t>147000006378</t>
  </si>
  <si>
    <t>172000009118</t>
  </si>
  <si>
    <t>172000008551</t>
  </si>
  <si>
    <t>172000010924</t>
  </si>
  <si>
    <t>172000010622</t>
  </si>
  <si>
    <t>172000009807</t>
  </si>
  <si>
    <t>172000007318</t>
  </si>
  <si>
    <t>172000009669</t>
  </si>
  <si>
    <t>172000005040</t>
  </si>
  <si>
    <t>172000006042</t>
  </si>
  <si>
    <t>172000004698</t>
  </si>
  <si>
    <t>172000011026</t>
  </si>
  <si>
    <t>172000006541</t>
  </si>
  <si>
    <t>172000009894</t>
  </si>
  <si>
    <t>172000007880</t>
  </si>
  <si>
    <t>172000004149</t>
  </si>
  <si>
    <t>172000005049</t>
  </si>
  <si>
    <t>172000009362</t>
  </si>
  <si>
    <t>172000008356</t>
  </si>
  <si>
    <t>49000020276</t>
  </si>
  <si>
    <t>172000009795</t>
  </si>
  <si>
    <t>172000000590</t>
  </si>
  <si>
    <t>172000006894</t>
  </si>
  <si>
    <t>172000009529</t>
  </si>
  <si>
    <t>172000009687</t>
  </si>
  <si>
    <t>172000006259</t>
  </si>
  <si>
    <t>172000010942</t>
  </si>
  <si>
    <t>172000007906</t>
  </si>
  <si>
    <t>178000007270</t>
  </si>
  <si>
    <t>178000007850</t>
  </si>
  <si>
    <t>178000009419</t>
  </si>
  <si>
    <t>178000005394</t>
  </si>
  <si>
    <t>178000006121</t>
  </si>
  <si>
    <t>178000008832</t>
  </si>
  <si>
    <t>178000006896</t>
  </si>
  <si>
    <t>178000002441</t>
  </si>
  <si>
    <t>178000003697</t>
  </si>
  <si>
    <t>178000005627</t>
  </si>
  <si>
    <t>178000002027</t>
  </si>
  <si>
    <t>1780008862</t>
  </si>
  <si>
    <t>178000002685</t>
  </si>
  <si>
    <t>178000000301</t>
  </si>
  <si>
    <t>178000001843</t>
  </si>
  <si>
    <t>178000005130</t>
  </si>
  <si>
    <t>178000007410</t>
  </si>
  <si>
    <t>178000004662</t>
  </si>
  <si>
    <t>178000006032</t>
  </si>
  <si>
    <t>178000007333</t>
  </si>
  <si>
    <t>178000002935</t>
  </si>
  <si>
    <t>178000002040</t>
  </si>
  <si>
    <t>178000007257</t>
  </si>
  <si>
    <t>178000003605</t>
  </si>
  <si>
    <t>178000009959</t>
  </si>
  <si>
    <t>178000004389</t>
  </si>
  <si>
    <t>178000002426</t>
  </si>
  <si>
    <t>178000007846</t>
  </si>
  <si>
    <t>74000009253</t>
  </si>
  <si>
    <t>74000010655</t>
  </si>
  <si>
    <t>74000010389</t>
  </si>
  <si>
    <t>74000018112</t>
  </si>
  <si>
    <t>74000009855</t>
  </si>
  <si>
    <t>74000016242</t>
  </si>
  <si>
    <t>74000019586</t>
  </si>
  <si>
    <t>74000010605</t>
  </si>
  <si>
    <t>74000010629</t>
  </si>
  <si>
    <t>74000010359</t>
  </si>
  <si>
    <t>74000014473</t>
  </si>
  <si>
    <t>74000013698</t>
  </si>
  <si>
    <t>74000017970</t>
  </si>
  <si>
    <t>74000010039</t>
  </si>
  <si>
    <t>74000012551</t>
  </si>
  <si>
    <t>74000010633</t>
  </si>
  <si>
    <t>74000017874</t>
  </si>
  <si>
    <t>24000054030</t>
  </si>
  <si>
    <t>74000012578</t>
  </si>
  <si>
    <t>74000019078</t>
  </si>
  <si>
    <t>74000010638</t>
  </si>
  <si>
    <t>74000010770</t>
  </si>
  <si>
    <t>74000012434</t>
  </si>
  <si>
    <t>74000010635</t>
  </si>
  <si>
    <t>74000020043</t>
  </si>
  <si>
    <t>24000053632</t>
  </si>
  <si>
    <t>74000010347</t>
  </si>
  <si>
    <t>74000014991</t>
  </si>
  <si>
    <t>74000016151</t>
  </si>
  <si>
    <t>74000014632</t>
  </si>
  <si>
    <t>74000010649</t>
  </si>
  <si>
    <t>24000052915</t>
  </si>
  <si>
    <t>74000010688</t>
  </si>
  <si>
    <t>74000010420</t>
  </si>
  <si>
    <t>74000019798</t>
  </si>
  <si>
    <t>74000004356</t>
  </si>
  <si>
    <t>74000020025</t>
  </si>
  <si>
    <t>180000006830</t>
  </si>
  <si>
    <t>180000007584</t>
  </si>
  <si>
    <t>178000011007</t>
  </si>
  <si>
    <t>147000009736</t>
  </si>
  <si>
    <t>38000029132</t>
  </si>
  <si>
    <t>38000030860</t>
  </si>
  <si>
    <t>99000018382</t>
  </si>
  <si>
    <t>38000031830</t>
  </si>
  <si>
    <t>74000018311</t>
  </si>
  <si>
    <t>74000018971</t>
  </si>
  <si>
    <t>74000018782</t>
  </si>
  <si>
    <t>147000011432</t>
  </si>
  <si>
    <t>147000011178</t>
  </si>
  <si>
    <t>38000031639</t>
  </si>
  <si>
    <t>74000018539</t>
  </si>
  <si>
    <t>38000031637</t>
  </si>
  <si>
    <t>38000030649</t>
  </si>
  <si>
    <t>178000007140</t>
  </si>
  <si>
    <t>99000016234</t>
  </si>
  <si>
    <t>99000019718</t>
  </si>
  <si>
    <t>180000003118</t>
  </si>
  <si>
    <t>99000019861</t>
  </si>
  <si>
    <t>99000017621</t>
  </si>
  <si>
    <t>178000007866</t>
  </si>
  <si>
    <t>147000010050</t>
  </si>
  <si>
    <t>178000010320</t>
  </si>
  <si>
    <t>99000020687</t>
  </si>
  <si>
    <t>38000029035</t>
  </si>
  <si>
    <t>38000030817</t>
  </si>
  <si>
    <t>38000030529</t>
  </si>
  <si>
    <t>147000012475</t>
  </si>
  <si>
    <t>38000030674</t>
  </si>
  <si>
    <t>146000009405</t>
  </si>
  <si>
    <t>74000020373</t>
  </si>
  <si>
    <t>147000011659</t>
  </si>
  <si>
    <t>178000009330</t>
  </si>
  <si>
    <t>205000001003</t>
  </si>
  <si>
    <t>146000009709</t>
  </si>
  <si>
    <t>146000008867</t>
  </si>
  <si>
    <t>146000010447</t>
  </si>
  <si>
    <t>146000011163</t>
  </si>
  <si>
    <t>146000009996</t>
  </si>
  <si>
    <t>LA TOTALIDAD QUE LE CORRESPONDEN AL TITULAR FUENTES ESTRADA, JAIDI, DEL BIEN INMUEBLE UBICADO EN ASENTAMIENTO HUMANO PROYECTO INTEGRAL “PAMPA SAN JUAN DE AMANCAES PARTE ALTA” MZ A LOTE 4 SECTOR LAS FLORES DE SAN JUAN DE AMANCAES, RIMAC, LIMA, LIMA INSCRITO EN LA PARTIDA ELECTRÓNICA N°P02191174</t>
  </si>
  <si>
    <t>04981-2025-0-1809-JP-CI-03</t>
  </si>
  <si>
    <t xml:space="preserve">VEHICULO PLACA C5B665 Y B2K603 </t>
  </si>
  <si>
    <t>13/04/2026 ESCRITO: FORMALIZACION</t>
  </si>
  <si>
    <t>23.06.2026 RES 3 DECLARA CONSENTIDA LA SENTENCIA</t>
  </si>
  <si>
    <t>30/06/2026 RES 2 AUTO FINAL</t>
  </si>
  <si>
    <t>17/06/2026 RES. 03 AUTO FINAL</t>
  </si>
  <si>
    <t>21/05/2026 RES 3 AUTO FINAL</t>
  </si>
  <si>
    <t>30/04/2026 RES 3 AUTO FINAL</t>
  </si>
  <si>
    <t>02605-2026-1-3203-JP-CI-02</t>
  </si>
  <si>
    <t>03082-2026-0-1817-JR-CO-01</t>
  </si>
  <si>
    <t>30/06/2026 RES 1 ADMITIDA</t>
  </si>
  <si>
    <t>02/07/2026 RES 1 ADMITIDA</t>
  </si>
  <si>
    <t>00080-2026-0-1815-JP-CO-03</t>
  </si>
  <si>
    <t>15/06/2026 RES 5 AUTO FINAL</t>
  </si>
  <si>
    <t>15/04/2026 RES 2 AUTO FINAL</t>
  </si>
  <si>
    <t>05/12/2025 RES 4 AUTO FINAL</t>
  </si>
  <si>
    <t xml:space="preserve">TOTALIDAD DE INMUEBLE UBICADO EN JR RUFINO TORRICO 217 CERCADO INSCRITO EN LA PARTIDA 40285156 </t>
  </si>
  <si>
    <t>TOTALIDAD DEL INMUEBLE UBICADO EN PROGRAMA DE VIVIENDA SAN FERNANDO DE CARABAYLLO MZ C LOTE 07 INSCRITO EN LA PE P01398507</t>
  </si>
  <si>
    <t>SE DEJA REQUERIMIENTO EN INMUEBLE</t>
  </si>
  <si>
    <t>Etiquetas de fila</t>
  </si>
  <si>
    <t>Total general</t>
  </si>
  <si>
    <t>Cuenta de EMBARGO EN FORMA DE INSCRIPCION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</si>
</sst>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yyyy"/>
    <numFmt numFmtId="166" formatCode="#,##0.00;[Red]#,##0.00"/>
  </numFmts>
  <fonts count="7" x14ac:knownFonts="1">
    <font>
      <sz val="11"/>
      <color theme="1"/>
      <name val="Calibri"/>
      <family val="2"/>
      <scheme val="minor"/>
    </font>
    <font>
      <sz val="8"/>
      <color theme="1"/>
      <name val="Calibri"/>
      <family val="2"/>
    </font>
    <font>
      <sz val="8"/>
      <color rgb="FF000000"/>
      <name val="Calibri"/>
      <family val="2"/>
    </font>
    <font>
      <b/>
      <sz val="8"/>
      <color rgb="FFFFFFFF"/>
      <name val="Calibri"/>
      <family val="2"/>
    </font>
    <font>
      <sz val="8"/>
      <color rgb="FFFFFFFF"/>
      <name val="Calibri"/>
      <family val="2"/>
    </font>
    <font>
      <i/>
      <sz val="8"/>
      <color rgb="FFFFFFFF"/>
      <name val="Calibri"/>
      <family val="2"/>
    </font>
    <font>
      <sz val="8"/>
      <name val="Calibri"/>
      <family val="2"/>
    </font>
  </fonts>
  <fills count="16">
    <fill>
      <patternFill patternType="none"/>
    </fill>
    <fill>
      <patternFill patternType="gray125"/>
    </fill>
    <fill>
      <patternFill patternType="solid">
        <fgColor rgb="FF002060"/>
        <bgColor rgb="FF002060"/>
      </patternFill>
    </fill>
    <fill>
      <patternFill patternType="solid">
        <fgColor rgb="FFFF0000"/>
        <bgColor rgb="FFFF0000"/>
      </patternFill>
    </fill>
    <fill>
      <patternFill patternType="solid">
        <fgColor rgb="FFA02B93"/>
        <bgColor rgb="FFA02B93"/>
      </patternFill>
    </fill>
    <fill>
      <patternFill patternType="solid">
        <fgColor rgb="FFFBE2D5"/>
        <bgColor rgb="FFFBE2D5"/>
      </patternFill>
    </fill>
    <fill>
      <patternFill patternType="solid">
        <fgColor rgb="FFF2CEEF"/>
        <bgColor rgb="FFF2CEEF"/>
      </patternFill>
    </fill>
    <fill>
      <patternFill patternType="solid">
        <fgColor rgb="FFDAF2D0"/>
        <bgColor rgb="FFDAF2D0"/>
      </patternFill>
    </fill>
    <fill>
      <patternFill patternType="solid">
        <fgColor rgb="FFCAEDFB"/>
        <bgColor rgb="FFCAEDFB"/>
      </patternFill>
    </fill>
    <fill>
      <patternFill patternType="solid">
        <fgColor rgb="FFFFFF00"/>
        <bgColor rgb="FFFFFF00"/>
      </patternFill>
    </fill>
    <fill>
      <patternFill patternType="solid">
        <fgColor rgb="FFFFFFFF"/>
        <bgColor rgb="FFFFFFFF"/>
      </patternFill>
    </fill>
    <fill>
      <patternFill patternType="solid">
        <fgColor rgb="FFF5F5F5"/>
        <bgColor rgb="FFF5F5F5"/>
      </patternFill>
    </fill>
    <fill>
      <patternFill patternType="solid">
        <fgColor theme="0"/>
        <bgColor indexed="64"/>
      </patternFill>
    </fill>
    <fill>
      <patternFill patternType="solid">
        <fgColor theme="0"/>
        <bgColor rgb="FFFFFFFF"/>
      </patternFill>
    </fill>
    <fill>
      <patternFill patternType="solid">
        <fgColor theme="0"/>
        <bgColor rgb="FFBFBFBF"/>
      </patternFill>
    </fill>
    <fill>
      <patternFill patternType="solid">
        <fgColor theme="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2" fillId="0" borderId="0" xfId="0" applyFont="1"/>
    <xf numFmtId="0" fontId="3" fillId="2" borderId="1" xfId="0" applyFont="1" applyFill="1" applyBorder="1" applyAlignment="1">
      <alignment horizontal="left"/>
    </xf>
    <xf numFmtId="0" fontId="4" fillId="2" borderId="1" xfId="0" applyFont="1" applyFill="1" applyBorder="1" applyAlignment="1">
      <alignment horizontal="left"/>
    </xf>
    <xf numFmtId="0" fontId="4" fillId="2" borderId="1" xfId="0" applyNumberFormat="1" applyFont="1" applyFill="1" applyBorder="1" applyAlignment="1">
      <alignment horizontal="left"/>
    </xf>
    <xf numFmtId="14" fontId="4" fillId="2" borderId="1" xfId="0" applyNumberFormat="1" applyFont="1" applyFill="1" applyBorder="1" applyAlignment="1">
      <alignment horizontal="left"/>
    </xf>
    <xf numFmtId="0" fontId="2" fillId="3" borderId="1" xfId="0" applyFont="1" applyFill="1" applyBorder="1" applyAlignment="1">
      <alignment horizontal="left"/>
    </xf>
    <xf numFmtId="0" fontId="4" fillId="4" borderId="1" xfId="0" applyFont="1" applyFill="1" applyBorder="1" applyAlignment="1">
      <alignment horizontal="left"/>
    </xf>
    <xf numFmtId="0" fontId="2" fillId="6" borderId="1" xfId="0" applyFont="1" applyFill="1" applyBorder="1" applyAlignment="1">
      <alignment horizontal="left"/>
    </xf>
    <xf numFmtId="14" fontId="2" fillId="6" borderId="1" xfId="0" applyNumberFormat="1" applyFont="1" applyFill="1" applyBorder="1" applyAlignment="1">
      <alignment horizontal="left"/>
    </xf>
    <xf numFmtId="0" fontId="2" fillId="7" borderId="1" xfId="0" applyFont="1" applyFill="1" applyBorder="1" applyAlignment="1">
      <alignment horizontal="left"/>
    </xf>
    <xf numFmtId="0" fontId="2" fillId="8" borderId="1" xfId="0" applyFont="1" applyFill="1" applyBorder="1" applyAlignment="1">
      <alignment horizontal="left"/>
    </xf>
    <xf numFmtId="0" fontId="2" fillId="5" borderId="1" xfId="0" applyFont="1" applyFill="1" applyBorder="1" applyAlignment="1">
      <alignment horizontal="left"/>
    </xf>
    <xf numFmtId="0" fontId="5" fillId="2" borderId="1" xfId="0" applyFont="1" applyFill="1" applyBorder="1" applyAlignment="1">
      <alignment horizontal="left"/>
    </xf>
    <xf numFmtId="0" fontId="2" fillId="0" borderId="0" xfId="0" applyFont="1" applyAlignment="1">
      <alignment horizontal="left"/>
    </xf>
    <xf numFmtId="0" fontId="2" fillId="0" borderId="1" xfId="0" applyFont="1" applyBorder="1"/>
    <xf numFmtId="0" fontId="1" fillId="0" borderId="0" xfId="0" applyFont="1"/>
    <xf numFmtId="0" fontId="1" fillId="0" borderId="1" xfId="0" applyFont="1" applyBorder="1"/>
    <xf numFmtId="14" fontId="1" fillId="0" borderId="0" xfId="0" applyNumberFormat="1" applyFont="1"/>
    <xf numFmtId="0" fontId="2" fillId="13" borderId="1" xfId="0" applyFont="1" applyFill="1" applyBorder="1" applyAlignment="1">
      <alignment horizontal="center" vertical="center" wrapText="1"/>
    </xf>
    <xf numFmtId="0" fontId="1" fillId="0" borderId="0" xfId="0" applyNumberFormat="1" applyFont="1"/>
    <xf numFmtId="14" fontId="6" fillId="12" borderId="6" xfId="0" applyNumberFormat="1" applyFont="1" applyFill="1" applyBorder="1" applyAlignment="1">
      <alignment horizontal="left" vertical="center"/>
    </xf>
    <xf numFmtId="14" fontId="6" fillId="12" borderId="6" xfId="0" applyNumberFormat="1" applyFont="1" applyFill="1" applyBorder="1" applyAlignment="1">
      <alignment horizontal="left" vertical="center" wrapText="1"/>
    </xf>
    <xf numFmtId="0" fontId="6" fillId="0" borderId="6" xfId="0" applyFont="1" applyBorder="1" applyAlignment="1">
      <alignment horizontal="left" vertical="center" wrapText="1"/>
    </xf>
    <xf numFmtId="0" fontId="6" fillId="13" borderId="6" xfId="0" applyFont="1" applyFill="1" applyBorder="1" applyAlignment="1">
      <alignment horizontal="left" vertical="center" wrapText="1"/>
    </xf>
    <xf numFmtId="0" fontId="4" fillId="2" borderId="4" xfId="0" applyFont="1" applyFill="1" applyBorder="1" applyAlignment="1">
      <alignment horizontal="left"/>
    </xf>
    <xf numFmtId="0" fontId="4" fillId="2" borderId="4" xfId="0" applyNumberFormat="1" applyFont="1" applyFill="1" applyBorder="1" applyAlignment="1">
      <alignment horizontal="left"/>
    </xf>
    <xf numFmtId="14" fontId="4" fillId="2" borderId="4" xfId="0" applyNumberFormat="1" applyFont="1" applyFill="1" applyBorder="1" applyAlignment="1">
      <alignment horizontal="left"/>
    </xf>
    <xf numFmtId="0" fontId="4" fillId="4" borderId="4" xfId="0" applyFont="1" applyFill="1" applyBorder="1" applyAlignment="1">
      <alignment horizontal="left"/>
    </xf>
    <xf numFmtId="0" fontId="2" fillId="6" borderId="4" xfId="0" applyFont="1" applyFill="1" applyBorder="1" applyAlignment="1">
      <alignment horizontal="left"/>
    </xf>
    <xf numFmtId="14" fontId="2" fillId="6" borderId="4" xfId="0" applyNumberFormat="1" applyFont="1" applyFill="1" applyBorder="1" applyAlignment="1">
      <alignment horizontal="left"/>
    </xf>
    <xf numFmtId="0" fontId="2" fillId="7" borderId="4" xfId="0" applyFont="1" applyFill="1" applyBorder="1" applyAlignment="1">
      <alignment horizontal="left"/>
    </xf>
    <xf numFmtId="0" fontId="2" fillId="9" borderId="4" xfId="0" applyFont="1" applyFill="1" applyBorder="1" applyAlignment="1">
      <alignment horizontal="left"/>
    </xf>
    <xf numFmtId="0" fontId="2" fillId="8" borderId="4" xfId="0" applyFont="1" applyFill="1" applyBorder="1" applyAlignment="1">
      <alignment horizontal="left"/>
    </xf>
    <xf numFmtId="0" fontId="2" fillId="5" borderId="4" xfId="0" applyFont="1" applyFill="1" applyBorder="1" applyAlignment="1">
      <alignment horizontal="left"/>
    </xf>
    <xf numFmtId="0" fontId="5" fillId="2" borderId="4" xfId="0" applyFont="1" applyFill="1" applyBorder="1" applyAlignment="1">
      <alignment horizontal="left"/>
    </xf>
    <xf numFmtId="0" fontId="6" fillId="10" borderId="6" xfId="0" applyFont="1" applyFill="1" applyBorder="1" applyAlignment="1">
      <alignment horizontal="left"/>
    </xf>
    <xf numFmtId="0" fontId="6" fillId="10" borderId="6" xfId="0" applyNumberFormat="1" applyFont="1" applyFill="1" applyBorder="1" applyAlignment="1">
      <alignment horizontal="left"/>
    </xf>
    <xf numFmtId="14" fontId="6" fillId="10" borderId="6" xfId="0" applyNumberFormat="1" applyFont="1" applyFill="1" applyBorder="1" applyAlignment="1">
      <alignment horizontal="left"/>
    </xf>
    <xf numFmtId="0" fontId="6" fillId="0" borderId="6" xfId="0" applyFont="1" applyBorder="1" applyAlignment="1">
      <alignment horizontal="left"/>
    </xf>
    <xf numFmtId="164" fontId="6" fillId="0" borderId="6" xfId="0" applyNumberFormat="1" applyFont="1" applyBorder="1" applyAlignment="1">
      <alignment horizontal="left"/>
    </xf>
    <xf numFmtId="165" fontId="6" fillId="10" borderId="6" xfId="0" applyNumberFormat="1" applyFont="1" applyFill="1" applyBorder="1" applyAlignment="1">
      <alignment horizontal="left"/>
    </xf>
    <xf numFmtId="164" fontId="6" fillId="10" borderId="6" xfId="0" applyNumberFormat="1" applyFont="1" applyFill="1" applyBorder="1" applyAlignment="1">
      <alignment horizontal="left"/>
    </xf>
    <xf numFmtId="165" fontId="6" fillId="0" borderId="6" xfId="0" applyNumberFormat="1" applyFont="1" applyBorder="1" applyAlignment="1">
      <alignment horizontal="left"/>
    </xf>
    <xf numFmtId="49" fontId="6" fillId="10" borderId="6" xfId="0" applyNumberFormat="1" applyFont="1" applyFill="1" applyBorder="1" applyAlignment="1">
      <alignment horizontal="left"/>
    </xf>
    <xf numFmtId="0" fontId="6" fillId="11" borderId="6" xfId="0" applyFont="1" applyFill="1" applyBorder="1" applyAlignment="1">
      <alignment horizontal="left"/>
    </xf>
    <xf numFmtId="0" fontId="6" fillId="0" borderId="6" xfId="0" applyNumberFormat="1" applyFont="1" applyBorder="1" applyAlignment="1">
      <alignment horizontal="left"/>
    </xf>
    <xf numFmtId="14" fontId="6" fillId="0" borderId="6" xfId="0" applyNumberFormat="1" applyFont="1" applyBorder="1" applyAlignment="1">
      <alignment horizontal="left"/>
    </xf>
    <xf numFmtId="49" fontId="6" fillId="0" borderId="6" xfId="0" applyNumberFormat="1" applyFont="1" applyBorder="1" applyAlignment="1">
      <alignment horizontal="left"/>
    </xf>
    <xf numFmtId="4" fontId="6" fillId="0" borderId="6" xfId="0" applyNumberFormat="1" applyFont="1" applyBorder="1" applyAlignment="1">
      <alignment horizontal="left"/>
    </xf>
    <xf numFmtId="0" fontId="1" fillId="0" borderId="5" xfId="0" applyFont="1" applyBorder="1" applyAlignment="1">
      <alignment horizontal="center" vertical="center" wrapText="1"/>
    </xf>
    <xf numFmtId="0" fontId="6" fillId="12" borderId="6" xfId="0" applyNumberFormat="1" applyFont="1" applyFill="1" applyBorder="1" applyAlignment="1">
      <alignment horizontal="left" vertical="center" wrapText="1"/>
    </xf>
    <xf numFmtId="49" fontId="6" fillId="12" borderId="6" xfId="0" applyNumberFormat="1" applyFont="1" applyFill="1" applyBorder="1" applyAlignment="1">
      <alignment horizontal="left" vertical="center" wrapText="1"/>
    </xf>
    <xf numFmtId="0" fontId="6" fillId="12" borderId="6" xfId="0" applyFont="1" applyFill="1" applyBorder="1" applyAlignment="1">
      <alignment horizontal="left" vertical="center" wrapText="1"/>
    </xf>
    <xf numFmtId="165" fontId="6" fillId="12" borderId="6" xfId="0" applyNumberFormat="1" applyFont="1" applyFill="1" applyBorder="1" applyAlignment="1">
      <alignment horizontal="left" vertical="center" wrapText="1"/>
    </xf>
    <xf numFmtId="0" fontId="6" fillId="12" borderId="6" xfId="0" applyFont="1" applyFill="1" applyBorder="1" applyAlignment="1">
      <alignment horizontal="left" vertical="center"/>
    </xf>
    <xf numFmtId="4" fontId="6" fillId="12" borderId="6" xfId="0" applyNumberFormat="1" applyFont="1" applyFill="1" applyBorder="1" applyAlignment="1">
      <alignment horizontal="left" vertical="center" wrapText="1"/>
    </xf>
    <xf numFmtId="0" fontId="6" fillId="13" borderId="6" xfId="0" applyNumberFormat="1" applyFont="1" applyFill="1" applyBorder="1" applyAlignment="1">
      <alignment horizontal="left" vertical="center" wrapText="1"/>
    </xf>
    <xf numFmtId="14" fontId="6" fillId="13" borderId="6" xfId="0" applyNumberFormat="1" applyFont="1" applyFill="1" applyBorder="1" applyAlignment="1">
      <alignment horizontal="left" vertical="center" wrapText="1"/>
    </xf>
    <xf numFmtId="166" fontId="6" fillId="13" borderId="6" xfId="0" applyNumberFormat="1" applyFont="1" applyFill="1" applyBorder="1" applyAlignment="1">
      <alignment horizontal="left" vertical="center" wrapText="1"/>
    </xf>
    <xf numFmtId="165" fontId="6" fillId="13" borderId="6" xfId="0" applyNumberFormat="1" applyFont="1" applyFill="1" applyBorder="1" applyAlignment="1">
      <alignment horizontal="left" vertical="center" wrapText="1"/>
    </xf>
    <xf numFmtId="0" fontId="6" fillId="14" borderId="6" xfId="0" applyFont="1" applyFill="1" applyBorder="1" applyAlignment="1">
      <alignment horizontal="left" vertical="center" wrapText="1"/>
    </xf>
    <xf numFmtId="0" fontId="6" fillId="15" borderId="6" xfId="0" applyFont="1" applyFill="1" applyBorder="1" applyAlignment="1">
      <alignment horizontal="left" vertical="center" wrapText="1"/>
    </xf>
    <xf numFmtId="49" fontId="6" fillId="13" borderId="6" xfId="0" applyNumberFormat="1" applyFont="1" applyFill="1" applyBorder="1" applyAlignment="1">
      <alignment horizontal="left" vertical="center" wrapText="1"/>
    </xf>
    <xf numFmtId="0" fontId="6" fillId="0" borderId="6" xfId="0" applyNumberFormat="1" applyFont="1" applyBorder="1" applyAlignment="1">
      <alignment horizontal="left" vertical="center" wrapText="1"/>
    </xf>
    <xf numFmtId="14" fontId="6" fillId="0" borderId="6" xfId="0" applyNumberFormat="1" applyFont="1" applyBorder="1" applyAlignment="1">
      <alignment horizontal="left" vertical="center" wrapText="1"/>
    </xf>
    <xf numFmtId="49" fontId="6" fillId="0" borderId="6" xfId="0" applyNumberFormat="1" applyFont="1" applyBorder="1" applyAlignment="1">
      <alignment horizontal="left" vertical="center" wrapText="1"/>
    </xf>
    <xf numFmtId="166" fontId="6" fillId="0" borderId="6" xfId="0" applyNumberFormat="1" applyFont="1" applyBorder="1" applyAlignment="1">
      <alignment horizontal="left" vertical="center" wrapText="1"/>
    </xf>
    <xf numFmtId="165" fontId="6" fillId="0" borderId="6" xfId="0" applyNumberFormat="1" applyFont="1" applyBorder="1" applyAlignment="1">
      <alignment horizontal="left" vertical="center" wrapText="1"/>
    </xf>
    <xf numFmtId="14" fontId="6" fillId="0" borderId="6" xfId="0" applyNumberFormat="1" applyFont="1" applyBorder="1" applyAlignment="1">
      <alignment horizontal="left" vertical="center"/>
    </xf>
    <xf numFmtId="0" fontId="6" fillId="0" borderId="6" xfId="0" applyFont="1" applyBorder="1" applyAlignment="1">
      <alignment horizontal="left" vertical="center"/>
    </xf>
    <xf numFmtId="0" fontId="6" fillId="12" borderId="6" xfId="0" applyNumberFormat="1" applyFont="1"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0" fontId="6" fillId="0" borderId="6" xfId="0" applyFont="1" applyBorder="1" applyAlignment="1">
      <alignment horizontal="left"/>
    </xf>
    <xf numFmtId="0" fontId="4" fillId="4" borderId="2" xfId="0" applyFont="1" applyFill="1" applyBorder="1" applyAlignment="1">
      <alignment horizontal="left"/>
    </xf>
    <xf numFmtId="0" fontId="6" fillId="0" borderId="3" xfId="0" applyFont="1" applyBorder="1"/>
    <xf numFmtId="0" fontId="2" fillId="7" borderId="2" xfId="0" applyFont="1" applyFill="1" applyBorder="1" applyAlignment="1">
      <alignment horizontal="left"/>
    </xf>
    <xf numFmtId="0" fontId="2" fillId="5" borderId="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oren/Downloads/REPORTE%20DE%20SALDO%20CARTERA%20LORENA%20PRADA%20-%20JULI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dos de Cartera"/>
    </sheetNames>
    <sheetDataSet>
      <sheetData sheetId="0">
        <row r="8">
          <cell r="E8" t="str">
            <v>107038101002142908</v>
          </cell>
          <cell r="F8" t="str">
            <v>633 ASESORES CONSULTORES PROPIEDADES S.A.C.</v>
          </cell>
          <cell r="G8" t="str">
            <v xml:space="preserve">-  </v>
          </cell>
          <cell r="H8">
            <v>0</v>
          </cell>
          <cell r="I8" t="str">
            <v>-</v>
          </cell>
          <cell r="J8">
            <v>0</v>
          </cell>
          <cell r="K8" t="str">
            <v>NO</v>
          </cell>
          <cell r="L8">
            <v>0</v>
          </cell>
          <cell r="M8">
            <v>0</v>
          </cell>
          <cell r="N8" t="str">
            <v>05001-2023-0-1809-JP-CI-02</v>
          </cell>
          <cell r="O8" t="str">
            <v>2° Juzgado de Paz letrado barr</v>
          </cell>
          <cell r="P8" t="str">
            <v>2023.10.12</v>
          </cell>
          <cell r="Q8">
            <v>44462.02</v>
          </cell>
          <cell r="R8" t="str">
            <v>PRESENTACION DE LA DEMANDA</v>
          </cell>
          <cell r="S8">
            <v>31709.07</v>
          </cell>
        </row>
        <row r="9">
          <cell r="E9" t="str">
            <v>107038101002168324</v>
          </cell>
          <cell r="F9" t="str">
            <v>ABRIENDO JUEGO S.A.C.</v>
          </cell>
          <cell r="G9" t="str">
            <v xml:space="preserve">-  </v>
          </cell>
          <cell r="H9">
            <v>0</v>
          </cell>
          <cell r="I9" t="str">
            <v>-</v>
          </cell>
          <cell r="J9">
            <v>0</v>
          </cell>
          <cell r="K9" t="str">
            <v>NO</v>
          </cell>
          <cell r="L9">
            <v>0</v>
          </cell>
          <cell r="M9">
            <v>0</v>
          </cell>
          <cell r="N9" t="str">
            <v>14678-2023-0-1817-JR-CO-13</v>
          </cell>
          <cell r="O9" t="str">
            <v xml:space="preserve">13° JUZGADO CIVIL COMERCIAL   </v>
          </cell>
          <cell r="P9" t="str">
            <v>2023.07.17</v>
          </cell>
          <cell r="Q9">
            <v>65307.96</v>
          </cell>
          <cell r="R9" t="str">
            <v>PRESENTACION DE LA DEMANDA</v>
          </cell>
          <cell r="S9">
            <v>43200</v>
          </cell>
        </row>
        <row r="10">
          <cell r="E10" t="str">
            <v>107038101002204727</v>
          </cell>
          <cell r="F10" t="str">
            <v>ACON ROJAS, ELIZABETH MERCEDES</v>
          </cell>
          <cell r="G10" t="str">
            <v xml:space="preserve">-  </v>
          </cell>
          <cell r="H10">
            <v>0</v>
          </cell>
          <cell r="I10" t="str">
            <v>-</v>
          </cell>
          <cell r="J10">
            <v>0</v>
          </cell>
          <cell r="K10" t="str">
            <v>NO</v>
          </cell>
          <cell r="L10">
            <v>0</v>
          </cell>
          <cell r="M10">
            <v>0</v>
          </cell>
          <cell r="N10" t="str">
            <v>10349-2023-50-1817-JR-CO-07</v>
          </cell>
          <cell r="O10" t="str">
            <v xml:space="preserve">7° JUZUZGADO CIVIL-COMERCIAL  </v>
          </cell>
          <cell r="P10" t="str">
            <v>2023.05.23</v>
          </cell>
          <cell r="Q10">
            <v>110323.76</v>
          </cell>
          <cell r="R10" t="str">
            <v>PRESENTACION DE LA DEMANDA</v>
          </cell>
          <cell r="S10">
            <v>100000</v>
          </cell>
        </row>
        <row r="11">
          <cell r="E11" t="str">
            <v>107038101003053510</v>
          </cell>
          <cell r="F11" t="str">
            <v>ALVAREZ ALZAMORA, KLEID RODERICK</v>
          </cell>
          <cell r="G11" t="str">
            <v xml:space="preserve">-  </v>
          </cell>
          <cell r="H11">
            <v>0</v>
          </cell>
          <cell r="I11" t="str">
            <v>-</v>
          </cell>
          <cell r="J11">
            <v>0</v>
          </cell>
          <cell r="K11" t="str">
            <v>NO</v>
          </cell>
          <cell r="L11">
            <v>0</v>
          </cell>
          <cell r="M11">
            <v>0</v>
          </cell>
          <cell r="N11" t="str">
            <v>01419-2025-0-1820-JP-CI-02</v>
          </cell>
          <cell r="O11" t="str">
            <v>2° JPL (SEDE LINCE-SAN ISIDRO)</v>
          </cell>
          <cell r="P11" t="str">
            <v>2025.09.04</v>
          </cell>
          <cell r="Q11">
            <v>35587.21</v>
          </cell>
          <cell r="R11" t="str">
            <v>PRESENTACION DE LA DEMANDA</v>
          </cell>
          <cell r="S11">
            <v>30000</v>
          </cell>
        </row>
        <row r="12">
          <cell r="E12" t="str">
            <v>107038101002161149</v>
          </cell>
          <cell r="F12" t="str">
            <v>ANDRES EGUSQUIZA, ELSA LIZBETH</v>
          </cell>
          <cell r="G12" t="str">
            <v xml:space="preserve">-  </v>
          </cell>
          <cell r="H12">
            <v>0</v>
          </cell>
          <cell r="I12" t="str">
            <v>-</v>
          </cell>
          <cell r="J12">
            <v>0</v>
          </cell>
          <cell r="K12" t="str">
            <v>NO</v>
          </cell>
          <cell r="L12">
            <v>0</v>
          </cell>
          <cell r="M12">
            <v>0</v>
          </cell>
          <cell r="N12" t="str">
            <v>04112-2023-0-1809-JP-CI-05</v>
          </cell>
          <cell r="O12" t="str">
            <v>2° Juzgado de Paz letrado barr</v>
          </cell>
          <cell r="P12" t="str">
            <v>2023.08.31</v>
          </cell>
          <cell r="Q12">
            <v>11298.44</v>
          </cell>
          <cell r="R12" t="str">
            <v>PRESENTACION DE LA DEMANDA</v>
          </cell>
          <cell r="S12">
            <v>8826.9699999999993</v>
          </cell>
        </row>
        <row r="13">
          <cell r="E13" t="str">
            <v>107038101001249321</v>
          </cell>
          <cell r="F13" t="str">
            <v>ANTON SANCHEZ, ALBERTO</v>
          </cell>
          <cell r="G13" t="str">
            <v xml:space="preserve">-  </v>
          </cell>
          <cell r="H13">
            <v>0</v>
          </cell>
          <cell r="I13" t="str">
            <v>-</v>
          </cell>
          <cell r="J13">
            <v>0</v>
          </cell>
          <cell r="K13" t="str">
            <v>NO</v>
          </cell>
          <cell r="L13">
            <v>0</v>
          </cell>
          <cell r="M13">
            <v>0</v>
          </cell>
          <cell r="N13" t="str">
            <v>14084-2019-0-1817-JR-CO-01</v>
          </cell>
          <cell r="O13" t="str">
            <v xml:space="preserve">1JUZGADO CIVIL COMERCIAL LIMA </v>
          </cell>
          <cell r="P13" t="str">
            <v>2019.09.20</v>
          </cell>
          <cell r="Q13">
            <v>245385.9</v>
          </cell>
          <cell r="R13" t="str">
            <v>PRESENTACION DE LA DEMANDA</v>
          </cell>
          <cell r="S13">
            <v>234393.46</v>
          </cell>
        </row>
        <row r="14">
          <cell r="E14" t="str">
            <v>107038101002139328</v>
          </cell>
          <cell r="F14" t="str">
            <v>ART STUCCO S.A.C.</v>
          </cell>
          <cell r="G14" t="str">
            <v xml:space="preserve">-  </v>
          </cell>
          <cell r="H14">
            <v>0</v>
          </cell>
          <cell r="I14" t="str">
            <v>-</v>
          </cell>
          <cell r="J14">
            <v>0</v>
          </cell>
          <cell r="K14" t="str">
            <v>NO</v>
          </cell>
          <cell r="L14">
            <v>0</v>
          </cell>
          <cell r="M14">
            <v>0</v>
          </cell>
          <cell r="N14" t="str">
            <v>10350-2023-27-1817-JR-CO-11</v>
          </cell>
          <cell r="O14" t="str">
            <v xml:space="preserve">11° JUZGADO CIVIL-COMERCIAL   </v>
          </cell>
          <cell r="P14" t="str">
            <v>2023.05.23</v>
          </cell>
          <cell r="Q14">
            <v>60862.35</v>
          </cell>
          <cell r="R14" t="str">
            <v>PRESENTACION DE LA DEMANDA</v>
          </cell>
          <cell r="S14">
            <v>0</v>
          </cell>
        </row>
        <row r="15">
          <cell r="E15" t="str">
            <v>107038101003098761</v>
          </cell>
          <cell r="F15" t="str">
            <v>ARTEAGA PALOMINO, YURINA</v>
          </cell>
          <cell r="G15" t="str">
            <v xml:space="preserve">-  </v>
          </cell>
          <cell r="H15">
            <v>0</v>
          </cell>
          <cell r="I15" t="str">
            <v>-</v>
          </cell>
          <cell r="J15">
            <v>0</v>
          </cell>
          <cell r="K15" t="str">
            <v>NO</v>
          </cell>
          <cell r="L15">
            <v>0</v>
          </cell>
          <cell r="M15">
            <v>0</v>
          </cell>
          <cell r="N15" t="str">
            <v>20178-2025-0-1828-JR-CO-16</v>
          </cell>
          <cell r="O15" t="str">
            <v xml:space="preserve">16° JUZGADO CIVIL - COMERCIAL </v>
          </cell>
          <cell r="P15" t="str">
            <v>2025.09.04</v>
          </cell>
          <cell r="Q15">
            <v>79094.22</v>
          </cell>
          <cell r="R15" t="str">
            <v>PRESENTACION DE LA DEMANDA</v>
          </cell>
          <cell r="S15">
            <v>70513.09</v>
          </cell>
        </row>
        <row r="16">
          <cell r="E16" t="str">
            <v>107038101002176559</v>
          </cell>
          <cell r="F16" t="str">
            <v>AZAÑERO URQUIA, SEGUNDO EMILIANO</v>
          </cell>
          <cell r="G16" t="str">
            <v xml:space="preserve">-  </v>
          </cell>
          <cell r="H16">
            <v>0</v>
          </cell>
          <cell r="I16" t="str">
            <v>-</v>
          </cell>
          <cell r="J16">
            <v>0</v>
          </cell>
          <cell r="K16" t="str">
            <v>NO</v>
          </cell>
          <cell r="L16">
            <v>0</v>
          </cell>
          <cell r="M16">
            <v>0</v>
          </cell>
          <cell r="N16" t="str">
            <v>05011-2023-0-1809-JP-CI-02</v>
          </cell>
          <cell r="O16" t="str">
            <v>2° Juzgado de Paz letrado barr</v>
          </cell>
          <cell r="P16" t="str">
            <v>2023.10.12</v>
          </cell>
          <cell r="Q16">
            <v>17791.29</v>
          </cell>
          <cell r="R16" t="str">
            <v>PRESENTACION DE LA DEMANDA</v>
          </cell>
          <cell r="S16">
            <v>12000</v>
          </cell>
        </row>
        <row r="17">
          <cell r="E17" t="str">
            <v>107038101002997988</v>
          </cell>
          <cell r="F17" t="str">
            <v>BOCANEGRA MURRIETA, DORIS CONSUELO</v>
          </cell>
          <cell r="G17" t="str">
            <v>002</v>
          </cell>
          <cell r="H17">
            <v>12</v>
          </cell>
          <cell r="I17" t="str">
            <v>2026.07.18</v>
          </cell>
          <cell r="J17">
            <v>999.98</v>
          </cell>
          <cell r="K17" t="str">
            <v>SI</v>
          </cell>
          <cell r="L17">
            <v>0</v>
          </cell>
          <cell r="M17">
            <v>40194.639999999999</v>
          </cell>
          <cell r="N17" t="str">
            <v>03803-2024-2-1866-JP-CI-03</v>
          </cell>
          <cell r="O17" t="str">
            <v xml:space="preserve">3° JPL BARRANCO-MIRAFLORES,   </v>
          </cell>
          <cell r="P17" t="str">
            <v>2024.08.16</v>
          </cell>
          <cell r="Q17">
            <v>30850.080000000002</v>
          </cell>
          <cell r="R17" t="str">
            <v>PRESENTACION DE LA DEMANDA</v>
          </cell>
          <cell r="S17">
            <v>18636.93</v>
          </cell>
        </row>
        <row r="18">
          <cell r="E18" t="str">
            <v>107038101002179554</v>
          </cell>
          <cell r="F18" t="str">
            <v>CAMIZAN MARTINEZ, CARMEN ROSA</v>
          </cell>
          <cell r="G18" t="str">
            <v xml:space="preserve">-  </v>
          </cell>
          <cell r="H18">
            <v>0</v>
          </cell>
          <cell r="I18" t="str">
            <v>-</v>
          </cell>
          <cell r="J18">
            <v>0</v>
          </cell>
          <cell r="K18" t="str">
            <v>NO</v>
          </cell>
          <cell r="L18">
            <v>0</v>
          </cell>
          <cell r="M18">
            <v>0</v>
          </cell>
          <cell r="N18" t="str">
            <v>22404-2023-0-1817-JR-CO-15</v>
          </cell>
          <cell r="O18" t="str">
            <v xml:space="preserve">15 JUZGADO COMERCIAL DE LIMA  </v>
          </cell>
          <cell r="P18" t="str">
            <v>2023.10.12</v>
          </cell>
          <cell r="Q18">
            <v>52031.8</v>
          </cell>
          <cell r="R18" t="str">
            <v>PRESENTACION DE LA DEMANDA</v>
          </cell>
          <cell r="S18">
            <v>36650.120000000003</v>
          </cell>
        </row>
        <row r="19">
          <cell r="E19" t="str">
            <v>107038101002140722</v>
          </cell>
          <cell r="F19" t="str">
            <v>CANDELA CALDERON, MIGUEL ALEJANDRO</v>
          </cell>
          <cell r="G19" t="str">
            <v xml:space="preserve">-  </v>
          </cell>
          <cell r="H19">
            <v>0</v>
          </cell>
          <cell r="I19" t="str">
            <v>-</v>
          </cell>
          <cell r="J19">
            <v>0</v>
          </cell>
          <cell r="K19" t="str">
            <v>NO</v>
          </cell>
          <cell r="L19">
            <v>0</v>
          </cell>
          <cell r="M19">
            <v>0</v>
          </cell>
          <cell r="N19" t="str">
            <v>05010-2023-0-1809-JP-CI-03</v>
          </cell>
          <cell r="O19" t="str">
            <v xml:space="preserve">3° JPL BARRANCO-MIRAFLORES,   </v>
          </cell>
          <cell r="P19" t="str">
            <v>2023.10.12</v>
          </cell>
          <cell r="Q19">
            <v>35348.25</v>
          </cell>
          <cell r="R19" t="str">
            <v>PRESENTACION DE LA DEMANDA</v>
          </cell>
          <cell r="S19">
            <v>25438.36</v>
          </cell>
        </row>
        <row r="20">
          <cell r="E20" t="str">
            <v>107038101001307784</v>
          </cell>
          <cell r="F20" t="str">
            <v>CARRASCO VEGA, LUIS ENRIQUE</v>
          </cell>
          <cell r="G20" t="str">
            <v>008</v>
          </cell>
          <cell r="H20">
            <v>12</v>
          </cell>
          <cell r="I20" t="str">
            <v>2026.07.26</v>
          </cell>
          <cell r="J20">
            <v>2600.1</v>
          </cell>
          <cell r="K20" t="str">
            <v>SI</v>
          </cell>
          <cell r="L20">
            <v>0</v>
          </cell>
          <cell r="M20">
            <v>201265.79</v>
          </cell>
          <cell r="N20" t="str">
            <v>14687-2023-0-1817-JR-CO-04</v>
          </cell>
          <cell r="O20" t="str">
            <v xml:space="preserve">4° Juzgado Civil Comercial    </v>
          </cell>
          <cell r="P20" t="str">
            <v>2023.07.17</v>
          </cell>
          <cell r="Q20">
            <v>216060.1</v>
          </cell>
          <cell r="R20" t="str">
            <v>PRESENTACION DE LA DEMANDA</v>
          </cell>
          <cell r="S20">
            <v>111339.39</v>
          </cell>
        </row>
        <row r="21">
          <cell r="E21" t="str">
            <v>107038101002117980</v>
          </cell>
          <cell r="F21" t="str">
            <v>CASTAÑEDA RAMOS, HERRI HERMANN</v>
          </cell>
          <cell r="G21" t="str">
            <v xml:space="preserve">-  </v>
          </cell>
          <cell r="H21">
            <v>0</v>
          </cell>
          <cell r="I21" t="str">
            <v>-</v>
          </cell>
          <cell r="J21">
            <v>0</v>
          </cell>
          <cell r="K21" t="str">
            <v>NO</v>
          </cell>
          <cell r="L21">
            <v>0</v>
          </cell>
          <cell r="M21">
            <v>0</v>
          </cell>
          <cell r="N21" t="str">
            <v>03105-2023-0-1809-JP-CI-01</v>
          </cell>
          <cell r="O21" t="str">
            <v>1°JUZGADO DE PAZ LETRADO MIRAF</v>
          </cell>
          <cell r="P21" t="str">
            <v>2023.07.24</v>
          </cell>
          <cell r="Q21">
            <v>33174.080000000002</v>
          </cell>
          <cell r="R21" t="str">
            <v>PRESENTACION DE LA DEMANDA</v>
          </cell>
          <cell r="S21">
            <v>20867.05</v>
          </cell>
        </row>
        <row r="22">
          <cell r="E22" t="str">
            <v>107038101002881811</v>
          </cell>
          <cell r="F22" t="str">
            <v>CASTILLO HUAMAN VDA DE FLORES, OLGA JUVENCIA</v>
          </cell>
          <cell r="G22" t="str">
            <v>001</v>
          </cell>
          <cell r="H22">
            <v>12</v>
          </cell>
          <cell r="I22" t="str">
            <v>2026.06.25</v>
          </cell>
          <cell r="J22">
            <v>600</v>
          </cell>
          <cell r="K22" t="str">
            <v>NO</v>
          </cell>
          <cell r="L22">
            <v>6</v>
          </cell>
          <cell r="M22">
            <v>21070.81</v>
          </cell>
          <cell r="N22" t="str">
            <v>04861-2024-0-1866-JP-CI-03</v>
          </cell>
          <cell r="O22" t="str">
            <v xml:space="preserve">3° JPL BARRANCO-MIRAFLORES,   </v>
          </cell>
          <cell r="P22" t="str">
            <v>2024.10.15</v>
          </cell>
          <cell r="Q22">
            <v>27959.59</v>
          </cell>
          <cell r="R22" t="str">
            <v>PRESENTACION DE LA DEMANDA</v>
          </cell>
          <cell r="S22">
            <v>11756.38</v>
          </cell>
        </row>
        <row r="23">
          <cell r="E23" t="str">
            <v>107038101002178284</v>
          </cell>
          <cell r="F23" t="str">
            <v>CASTRO DE ACOSTA, MANUEL EMILIO</v>
          </cell>
          <cell r="G23" t="str">
            <v xml:space="preserve">-  </v>
          </cell>
          <cell r="H23">
            <v>0</v>
          </cell>
          <cell r="I23" t="str">
            <v>-</v>
          </cell>
          <cell r="J23">
            <v>0</v>
          </cell>
          <cell r="K23" t="str">
            <v>NO</v>
          </cell>
          <cell r="L23">
            <v>0</v>
          </cell>
          <cell r="M23">
            <v>0</v>
          </cell>
          <cell r="N23" t="str">
            <v>22402-2023-0-1817-JR-CO-07</v>
          </cell>
          <cell r="O23" t="str">
            <v xml:space="preserve">7° JUZUZGADO CIVIL-COMERCIAL  </v>
          </cell>
          <cell r="P23" t="str">
            <v>2023.10.12</v>
          </cell>
          <cell r="Q23">
            <v>79972.95</v>
          </cell>
          <cell r="R23" t="str">
            <v>PRESENTACION DE LA DEMANDA</v>
          </cell>
          <cell r="S23">
            <v>60629.15</v>
          </cell>
        </row>
        <row r="24">
          <cell r="E24" t="str">
            <v>107038101002471034</v>
          </cell>
          <cell r="F24" t="str">
            <v>CHAVARRIA QUEZADA, DANIEL OSCAR</v>
          </cell>
          <cell r="G24" t="str">
            <v>013</v>
          </cell>
          <cell r="H24">
            <v>16</v>
          </cell>
          <cell r="I24" t="str">
            <v>2026.07.11</v>
          </cell>
          <cell r="J24">
            <v>572</v>
          </cell>
          <cell r="K24" t="str">
            <v>SI</v>
          </cell>
          <cell r="L24">
            <v>0</v>
          </cell>
          <cell r="M24">
            <v>12159.72</v>
          </cell>
          <cell r="N24" t="str">
            <v>05757-2023-31-1809-JP-CI-03</v>
          </cell>
          <cell r="O24" t="str">
            <v xml:space="preserve">3° JPL BARRANCO-MIRAFLORES,   </v>
          </cell>
          <cell r="P24" t="str">
            <v>2023.11.29</v>
          </cell>
          <cell r="Q24">
            <v>15586.48</v>
          </cell>
          <cell r="R24" t="str">
            <v>PRESENTACION DE LA DEMANDA</v>
          </cell>
          <cell r="S24">
            <v>0</v>
          </cell>
        </row>
        <row r="25">
          <cell r="E25" t="str">
            <v>107038101003337224</v>
          </cell>
          <cell r="F25" t="str">
            <v>CLV CONTRATISTAS S.A.C</v>
          </cell>
          <cell r="G25" t="str">
            <v xml:space="preserve">-  </v>
          </cell>
          <cell r="H25">
            <v>0</v>
          </cell>
          <cell r="I25" t="str">
            <v>-</v>
          </cell>
          <cell r="J25">
            <v>0</v>
          </cell>
          <cell r="K25" t="str">
            <v>NO</v>
          </cell>
          <cell r="L25">
            <v>0</v>
          </cell>
          <cell r="M25">
            <v>0</v>
          </cell>
          <cell r="N25" t="str">
            <v>30930-2025-96-1828-JR-CO-03</v>
          </cell>
          <cell r="O25" t="str">
            <v xml:space="preserve">3° JUZ CIVIL COMERCIAL        </v>
          </cell>
          <cell r="P25" t="str">
            <v>2025.12.29</v>
          </cell>
          <cell r="Q25">
            <v>356577.45</v>
          </cell>
          <cell r="R25" t="str">
            <v>PRESENTACION DE LA DEMANDA</v>
          </cell>
          <cell r="S25">
            <v>300000</v>
          </cell>
        </row>
        <row r="26">
          <cell r="E26" t="str">
            <v>107038101002130216</v>
          </cell>
          <cell r="F26" t="str">
            <v>COLOMA TORRES, MARY LUZ</v>
          </cell>
          <cell r="G26" t="str">
            <v xml:space="preserve">-  </v>
          </cell>
          <cell r="H26">
            <v>0</v>
          </cell>
          <cell r="I26" t="str">
            <v>-</v>
          </cell>
          <cell r="J26">
            <v>0</v>
          </cell>
          <cell r="K26" t="str">
            <v>NO</v>
          </cell>
          <cell r="L26">
            <v>0</v>
          </cell>
          <cell r="M26">
            <v>0</v>
          </cell>
          <cell r="N26" t="str">
            <v>00182-2024-0-1866-JP-CO-03</v>
          </cell>
          <cell r="O26" t="str">
            <v xml:space="preserve">3° JPL BARRANCO-MIRAFLORES,   </v>
          </cell>
          <cell r="P26" t="str">
            <v>2024.07.17</v>
          </cell>
          <cell r="Q26">
            <v>49375.12</v>
          </cell>
          <cell r="R26" t="str">
            <v>PRESENTACION DE LA DEMANDA</v>
          </cell>
          <cell r="S26">
            <v>27344.7</v>
          </cell>
        </row>
        <row r="27">
          <cell r="E27" t="str">
            <v>107038101002146293</v>
          </cell>
          <cell r="F27" t="str">
            <v>CONDORI LINARES, BEATRIZ</v>
          </cell>
          <cell r="G27" t="str">
            <v xml:space="preserve">-  </v>
          </cell>
          <cell r="H27">
            <v>0</v>
          </cell>
          <cell r="I27" t="str">
            <v>-</v>
          </cell>
          <cell r="J27">
            <v>0</v>
          </cell>
          <cell r="K27" t="str">
            <v>NO</v>
          </cell>
          <cell r="L27">
            <v>0</v>
          </cell>
          <cell r="M27">
            <v>0</v>
          </cell>
          <cell r="N27" t="str">
            <v>05015-2023-0-1809-JP-CI-04</v>
          </cell>
          <cell r="O27" t="str">
            <v>4° JUZ PAZ LETRADO DE BARRANCO</v>
          </cell>
          <cell r="P27" t="str">
            <v>2023.10.12</v>
          </cell>
          <cell r="Q27">
            <v>11371.04</v>
          </cell>
          <cell r="R27" t="str">
            <v>PRESENTACION DE LA DEMANDA</v>
          </cell>
          <cell r="S27">
            <v>8871.77</v>
          </cell>
        </row>
        <row r="28">
          <cell r="E28" t="str">
            <v>107038101002219824</v>
          </cell>
          <cell r="F28" t="str">
            <v>CORPORACION AGUINAGA SOCIEDAD ANONIMA CERRADA</v>
          </cell>
          <cell r="G28" t="str">
            <v xml:space="preserve">-  </v>
          </cell>
          <cell r="H28">
            <v>0</v>
          </cell>
          <cell r="I28" t="str">
            <v>-</v>
          </cell>
          <cell r="J28">
            <v>0</v>
          </cell>
          <cell r="K28" t="str">
            <v>NO</v>
          </cell>
          <cell r="L28">
            <v>0</v>
          </cell>
          <cell r="M28">
            <v>0</v>
          </cell>
          <cell r="N28" t="str">
            <v>10385-2023-0-1817-JR-CO-12</v>
          </cell>
          <cell r="O28" t="str">
            <v xml:space="preserve">12° JUZGADO COMERCIAL         </v>
          </cell>
          <cell r="P28" t="str">
            <v>2023.05.23</v>
          </cell>
          <cell r="Q28">
            <v>162994.96</v>
          </cell>
          <cell r="R28" t="str">
            <v>PRESENTACION DE LA DEMANDA</v>
          </cell>
          <cell r="S28">
            <v>95887.54</v>
          </cell>
        </row>
        <row r="29">
          <cell r="E29" t="str">
            <v>107038101002152949</v>
          </cell>
          <cell r="F29" t="str">
            <v>CORPORACION DE INVERSIONES ESTETICAS S.A.C.</v>
          </cell>
          <cell r="G29" t="str">
            <v xml:space="preserve">-  </v>
          </cell>
          <cell r="H29">
            <v>0</v>
          </cell>
          <cell r="I29" t="str">
            <v>-</v>
          </cell>
          <cell r="J29">
            <v>0</v>
          </cell>
          <cell r="K29" t="str">
            <v>NO</v>
          </cell>
          <cell r="L29">
            <v>0</v>
          </cell>
          <cell r="M29">
            <v>0</v>
          </cell>
          <cell r="N29" t="str">
            <v>20209-2023-0-1817-JR-CO-02</v>
          </cell>
          <cell r="O29" t="str">
            <v xml:space="preserve">2° JZUGADO CIVIL COMERCIAL DE </v>
          </cell>
          <cell r="P29" t="str">
            <v>2023.09.22</v>
          </cell>
          <cell r="Q29">
            <v>108309.15</v>
          </cell>
          <cell r="R29" t="str">
            <v>PRESENTACION DE LA DEMANDA</v>
          </cell>
          <cell r="S29">
            <v>88504.66</v>
          </cell>
        </row>
        <row r="30">
          <cell r="E30" t="str">
            <v>107038101002116432</v>
          </cell>
          <cell r="F30" t="str">
            <v>CORPORACION GLOBAL FRUITS SAC</v>
          </cell>
          <cell r="G30" t="str">
            <v xml:space="preserve">-  </v>
          </cell>
          <cell r="H30">
            <v>0</v>
          </cell>
          <cell r="I30" t="str">
            <v>-</v>
          </cell>
          <cell r="J30">
            <v>0</v>
          </cell>
          <cell r="K30" t="str">
            <v>NO</v>
          </cell>
          <cell r="L30">
            <v>0</v>
          </cell>
          <cell r="M30">
            <v>0</v>
          </cell>
          <cell r="N30" t="str">
            <v>10335-2023-0-1817-JR-CO-01</v>
          </cell>
          <cell r="O30" t="str">
            <v xml:space="preserve">1JUZGADO CIVIL COMERCIAL LIMA </v>
          </cell>
          <cell r="P30" t="str">
            <v>2023.05.22</v>
          </cell>
          <cell r="Q30">
            <v>71120.62</v>
          </cell>
          <cell r="R30" t="str">
            <v>PRESENTACION DE LA DEMANDA</v>
          </cell>
          <cell r="S30">
            <v>41251.360000000001</v>
          </cell>
        </row>
        <row r="31">
          <cell r="E31" t="str">
            <v>107038101002847613</v>
          </cell>
          <cell r="F31" t="str">
            <v>CUBAS PEREZ, JOSE WILLAN</v>
          </cell>
          <cell r="G31" t="str">
            <v xml:space="preserve">-  </v>
          </cell>
          <cell r="H31">
            <v>0</v>
          </cell>
          <cell r="I31" t="str">
            <v>-</v>
          </cell>
          <cell r="J31">
            <v>0</v>
          </cell>
          <cell r="K31" t="str">
            <v>NO</v>
          </cell>
          <cell r="L31">
            <v>0</v>
          </cell>
          <cell r="M31">
            <v>0</v>
          </cell>
          <cell r="N31" t="str">
            <v>05755-2023-82-1809-JP-CI-03</v>
          </cell>
          <cell r="O31" t="str">
            <v xml:space="preserve">3° JPL BARRANCO-MIRAFLORES,   </v>
          </cell>
          <cell r="P31" t="str">
            <v>2023.11.29</v>
          </cell>
          <cell r="Q31">
            <v>25570.37</v>
          </cell>
          <cell r="R31" t="str">
            <v>PRESENTACION DE LA DEMANDA</v>
          </cell>
          <cell r="S31">
            <v>23457.200000000001</v>
          </cell>
        </row>
        <row r="32">
          <cell r="E32" t="str">
            <v>107038101002182669</v>
          </cell>
          <cell r="F32" t="str">
            <v>D COSTA RESTOBAR SOCIEDAD ANONIMA CERRADA D' COSTA RESTOBAR S.A.C.</v>
          </cell>
          <cell r="G32" t="str">
            <v xml:space="preserve">-  </v>
          </cell>
          <cell r="H32">
            <v>0</v>
          </cell>
          <cell r="I32" t="str">
            <v>-</v>
          </cell>
          <cell r="J32">
            <v>0</v>
          </cell>
          <cell r="K32" t="str">
            <v>NO</v>
          </cell>
          <cell r="L32">
            <v>0</v>
          </cell>
          <cell r="M32">
            <v>0</v>
          </cell>
          <cell r="N32" t="str">
            <v>20211-2023-0-1817-JR-CO-16</v>
          </cell>
          <cell r="O32" t="str">
            <v xml:space="preserve">16° JUZGADO CIVIL - COMERCIAL </v>
          </cell>
          <cell r="P32" t="str">
            <v>2023.09.22</v>
          </cell>
          <cell r="Q32">
            <v>129942.25</v>
          </cell>
          <cell r="R32" t="str">
            <v>PRESENTACION DE LA DEMANDA</v>
          </cell>
          <cell r="S32">
            <v>99900</v>
          </cell>
        </row>
        <row r="33">
          <cell r="E33" t="str">
            <v>107038101002147296</v>
          </cell>
          <cell r="F33" t="str">
            <v>DIAZ ESPINOZA, CARLOS ALBERTO</v>
          </cell>
          <cell r="G33" t="str">
            <v xml:space="preserve">-  </v>
          </cell>
          <cell r="H33">
            <v>0</v>
          </cell>
          <cell r="I33" t="str">
            <v>-</v>
          </cell>
          <cell r="J33">
            <v>0</v>
          </cell>
          <cell r="K33" t="str">
            <v>NO</v>
          </cell>
          <cell r="L33">
            <v>0</v>
          </cell>
          <cell r="M33">
            <v>0</v>
          </cell>
          <cell r="N33" t="str">
            <v>02116-2023-0-1809-JP-CI-05</v>
          </cell>
          <cell r="O33" t="str">
            <v xml:space="preserve">5° JUZ PAZ LETRADO BARRANCO   </v>
          </cell>
          <cell r="P33" t="str">
            <v>2023.05.19</v>
          </cell>
          <cell r="Q33">
            <v>27248.12</v>
          </cell>
          <cell r="R33" t="str">
            <v>PRESENTACION DE LA DEMANDA</v>
          </cell>
          <cell r="S33">
            <v>19200</v>
          </cell>
        </row>
        <row r="34">
          <cell r="E34" t="str">
            <v>107038101002119770</v>
          </cell>
          <cell r="F34" t="str">
            <v>D'TALLES IMPORT SOCIEDAD ANONIMA CERRADA D'TALLES IMPORT SAC</v>
          </cell>
          <cell r="G34" t="str">
            <v xml:space="preserve">-  </v>
          </cell>
          <cell r="H34">
            <v>0</v>
          </cell>
          <cell r="I34" t="str">
            <v>-</v>
          </cell>
          <cell r="J34">
            <v>0</v>
          </cell>
          <cell r="K34" t="str">
            <v>NO</v>
          </cell>
          <cell r="L34">
            <v>0</v>
          </cell>
          <cell r="M34">
            <v>0</v>
          </cell>
          <cell r="N34" t="str">
            <v>01272-2024-0-1866-JP-CI-04</v>
          </cell>
          <cell r="O34" t="str">
            <v>4° JUZ PAZ LETRADO DE BARRANCO</v>
          </cell>
          <cell r="P34" t="str">
            <v>2024.03.27</v>
          </cell>
          <cell r="Q34">
            <v>20124.53</v>
          </cell>
          <cell r="R34" t="str">
            <v>PRESENTACION DE LA DEMANDA</v>
          </cell>
          <cell r="S34">
            <v>16647.25</v>
          </cell>
        </row>
        <row r="35">
          <cell r="E35" t="str">
            <v>107038101002222676</v>
          </cell>
          <cell r="F35" t="str">
            <v>E Y G INDUSTRIAS &amp; SERVICIOS MULTIPLES E.I.R.L</v>
          </cell>
          <cell r="G35" t="str">
            <v xml:space="preserve">-  </v>
          </cell>
          <cell r="H35">
            <v>0</v>
          </cell>
          <cell r="I35" t="str">
            <v>-</v>
          </cell>
          <cell r="J35">
            <v>0</v>
          </cell>
          <cell r="K35" t="str">
            <v>NO</v>
          </cell>
          <cell r="L35">
            <v>0</v>
          </cell>
          <cell r="M35">
            <v>0</v>
          </cell>
          <cell r="N35" t="str">
            <v>29398-2024-11-1828-JR-CO-13</v>
          </cell>
          <cell r="O35" t="str">
            <v xml:space="preserve">13° JUZGADO CIVIL COMERCIAL   </v>
          </cell>
          <cell r="P35" t="str">
            <v>2024.09.23</v>
          </cell>
          <cell r="Q35">
            <v>97669.78</v>
          </cell>
          <cell r="R35" t="str">
            <v>PRESENTACION DE LA DEMANDA</v>
          </cell>
          <cell r="S35">
            <v>81027.210000000006</v>
          </cell>
        </row>
        <row r="36">
          <cell r="E36" t="str">
            <v>107038101002180423</v>
          </cell>
          <cell r="F36" t="str">
            <v>EDITORIAL HANS S.A.C</v>
          </cell>
          <cell r="G36" t="str">
            <v>001</v>
          </cell>
          <cell r="H36">
            <v>12</v>
          </cell>
          <cell r="I36" t="str">
            <v>2025.08.25</v>
          </cell>
          <cell r="J36">
            <v>449.99</v>
          </cell>
          <cell r="K36" t="str">
            <v>NO</v>
          </cell>
          <cell r="L36">
            <v>310</v>
          </cell>
          <cell r="M36">
            <v>72564.62</v>
          </cell>
          <cell r="N36" t="str">
            <v>13906-2025-79-1828-JR-CO-04</v>
          </cell>
          <cell r="O36" t="str">
            <v xml:space="preserve">4° Juzgado Civil Comercial    </v>
          </cell>
          <cell r="P36" t="str">
            <v>2025.06.24</v>
          </cell>
          <cell r="Q36">
            <v>125061.45</v>
          </cell>
          <cell r="R36" t="str">
            <v>PRESENTACION DE LA DEMANDA</v>
          </cell>
          <cell r="S36">
            <v>36589.370000000003</v>
          </cell>
        </row>
        <row r="37">
          <cell r="E37" t="str">
            <v>107038101003176580</v>
          </cell>
          <cell r="F37" t="str">
            <v>EFICIENCIA DINAMICA S.R.L</v>
          </cell>
          <cell r="G37" t="str">
            <v xml:space="preserve">-  </v>
          </cell>
          <cell r="H37">
            <v>0</v>
          </cell>
          <cell r="I37" t="str">
            <v>-</v>
          </cell>
          <cell r="J37">
            <v>0</v>
          </cell>
          <cell r="K37" t="str">
            <v>NO</v>
          </cell>
          <cell r="L37">
            <v>0</v>
          </cell>
          <cell r="M37">
            <v>0</v>
          </cell>
          <cell r="N37" t="str">
            <v>11340-2026-1-1828-JR-CO-17</v>
          </cell>
          <cell r="O37" t="str">
            <v xml:space="preserve">17° JUZGADO CIVIL COMERCIAL   </v>
          </cell>
          <cell r="P37" t="str">
            <v>2026.04.29</v>
          </cell>
          <cell r="Q37">
            <v>331584.63</v>
          </cell>
          <cell r="R37" t="str">
            <v>PRESENTACION DE LA DEMANDA</v>
          </cell>
          <cell r="S37">
            <v>272804.2</v>
          </cell>
        </row>
        <row r="38">
          <cell r="E38" t="str">
            <v>107038101002177926</v>
          </cell>
          <cell r="F38" t="str">
            <v>FERREMAS FV E.I.R.L.</v>
          </cell>
          <cell r="G38" t="str">
            <v xml:space="preserve">-  </v>
          </cell>
          <cell r="H38">
            <v>0</v>
          </cell>
          <cell r="I38" t="str">
            <v>-</v>
          </cell>
          <cell r="J38">
            <v>0</v>
          </cell>
          <cell r="K38" t="str">
            <v>NO</v>
          </cell>
          <cell r="L38">
            <v>0</v>
          </cell>
          <cell r="M38">
            <v>0</v>
          </cell>
          <cell r="N38" t="str">
            <v>22401-2023-0-1817-JR-CO-12</v>
          </cell>
          <cell r="O38" t="str">
            <v xml:space="preserve">12° JUZGADO COMERCIAL         </v>
          </cell>
          <cell r="P38" t="str">
            <v>2023.10.12</v>
          </cell>
          <cell r="Q38">
            <v>101772.6</v>
          </cell>
          <cell r="R38" t="str">
            <v>PRESENTACION DE LA DEMANDA</v>
          </cell>
          <cell r="S38">
            <v>74168.22</v>
          </cell>
        </row>
        <row r="39">
          <cell r="E39" t="str">
            <v>107038101002924413</v>
          </cell>
          <cell r="F39" t="str">
            <v>GERONIMO RODRIGUEZ, IVAN OMAR</v>
          </cell>
          <cell r="G39" t="str">
            <v>002</v>
          </cell>
          <cell r="H39">
            <v>12</v>
          </cell>
          <cell r="I39" t="str">
            <v>2026.07.29</v>
          </cell>
          <cell r="J39">
            <v>999.98</v>
          </cell>
          <cell r="K39" t="str">
            <v>SI</v>
          </cell>
          <cell r="L39">
            <v>0</v>
          </cell>
          <cell r="M39">
            <v>63233.32</v>
          </cell>
          <cell r="N39" t="str">
            <v>34731-2024-27-1828-JR-CO-17</v>
          </cell>
          <cell r="O39" t="str">
            <v xml:space="preserve">17° JUZGADO CIVIL COMERCIAL   </v>
          </cell>
          <cell r="P39" t="str">
            <v>2024.11.14</v>
          </cell>
          <cell r="Q39">
            <v>67000</v>
          </cell>
          <cell r="R39" t="str">
            <v>PRESENTACION DE LA DEMANDA</v>
          </cell>
          <cell r="S39">
            <v>43723.13</v>
          </cell>
        </row>
        <row r="40">
          <cell r="E40" t="str">
            <v>107038101002466200</v>
          </cell>
          <cell r="F40" t="str">
            <v>GERONIMO RODRIGUEZ, JUAN CARLOS</v>
          </cell>
          <cell r="G40" t="str">
            <v>002</v>
          </cell>
          <cell r="H40">
            <v>12</v>
          </cell>
          <cell r="I40" t="str">
            <v>2026.07.29</v>
          </cell>
          <cell r="J40">
            <v>898.92</v>
          </cell>
          <cell r="K40" t="str">
            <v>SI</v>
          </cell>
          <cell r="L40">
            <v>0</v>
          </cell>
          <cell r="M40">
            <v>14960.11</v>
          </cell>
          <cell r="N40" t="str">
            <v>00871-2025-67-1866-JP-CI-03</v>
          </cell>
          <cell r="O40" t="str">
            <v xml:space="preserve">3° JPL BARRANCO-MIRAFLORES,   </v>
          </cell>
          <cell r="P40" t="str">
            <v>2025.03.06</v>
          </cell>
          <cell r="Q40">
            <v>24963.360000000001</v>
          </cell>
          <cell r="R40" t="str">
            <v>PRESENTACION DE LA DEMANDA</v>
          </cell>
          <cell r="S40">
            <v>7956.3</v>
          </cell>
        </row>
        <row r="41">
          <cell r="E41" t="str">
            <v>107038101002161553</v>
          </cell>
          <cell r="F41" t="str">
            <v>GONZALES COSIO, YESICA</v>
          </cell>
          <cell r="G41" t="str">
            <v xml:space="preserve">-  </v>
          </cell>
          <cell r="H41">
            <v>0</v>
          </cell>
          <cell r="I41" t="str">
            <v>-</v>
          </cell>
          <cell r="J41">
            <v>0</v>
          </cell>
          <cell r="K41" t="str">
            <v>NO</v>
          </cell>
          <cell r="L41">
            <v>0</v>
          </cell>
          <cell r="M41">
            <v>0</v>
          </cell>
          <cell r="N41" t="str">
            <v>02113-2023-0-1809-JP-CI-02</v>
          </cell>
          <cell r="O41" t="str">
            <v>2° Juzgado de Paz letrado barr</v>
          </cell>
          <cell r="P41" t="str">
            <v>2023.05.23</v>
          </cell>
          <cell r="Q41">
            <v>29180.11</v>
          </cell>
          <cell r="R41" t="str">
            <v>PRESENTACION DE LA DEMANDA</v>
          </cell>
          <cell r="S41">
            <v>23000</v>
          </cell>
        </row>
        <row r="42">
          <cell r="E42" t="str">
            <v>107038101002808674</v>
          </cell>
          <cell r="F42" t="str">
            <v>GONZALEZ GONZALEZ, JOSE ANTONIO</v>
          </cell>
          <cell r="G42" t="str">
            <v>012</v>
          </cell>
          <cell r="H42">
            <v>12</v>
          </cell>
          <cell r="I42" t="str">
            <v>2026.07.09</v>
          </cell>
          <cell r="J42">
            <v>21863.18</v>
          </cell>
          <cell r="K42" t="str">
            <v>SI</v>
          </cell>
          <cell r="L42">
            <v>0</v>
          </cell>
          <cell r="M42">
            <v>30769.040000000001</v>
          </cell>
          <cell r="N42" t="str">
            <v>02089-2024-0-1866-JP-CI-03</v>
          </cell>
          <cell r="O42" t="str">
            <v xml:space="preserve">3° JPL BARRANCO-MIRAFLORES,   </v>
          </cell>
          <cell r="P42" t="str">
            <v>2024.05.21</v>
          </cell>
          <cell r="Q42">
            <v>35851.67</v>
          </cell>
          <cell r="R42" t="str">
            <v>PRESENTACION DE LA DEMANDA</v>
          </cell>
          <cell r="S42">
            <v>14412.29</v>
          </cell>
        </row>
        <row r="43">
          <cell r="E43" t="str">
            <v>107038101003471116</v>
          </cell>
          <cell r="F43" t="str">
            <v>GRUPO INTERNACIONAL SAIDA SOCIEDAD ANONIMA CERRADA</v>
          </cell>
          <cell r="G43" t="str">
            <v xml:space="preserve">-  </v>
          </cell>
          <cell r="H43">
            <v>0</v>
          </cell>
          <cell r="I43" t="str">
            <v>-</v>
          </cell>
          <cell r="J43">
            <v>0</v>
          </cell>
          <cell r="K43" t="str">
            <v>NO</v>
          </cell>
          <cell r="L43">
            <v>0</v>
          </cell>
          <cell r="M43">
            <v>0</v>
          </cell>
          <cell r="N43" t="str">
            <v>05521-2026-46-1828-JR-CO-11</v>
          </cell>
          <cell r="O43" t="str">
            <v xml:space="preserve">11° JUZGADO CIVIL-COMERCIAL   </v>
          </cell>
          <cell r="P43" t="str">
            <v>2026.02.26</v>
          </cell>
          <cell r="Q43">
            <v>94255.77</v>
          </cell>
          <cell r="R43" t="str">
            <v>PRESENTACION DE LA DEMANDA</v>
          </cell>
          <cell r="S43">
            <v>84341.85</v>
          </cell>
        </row>
        <row r="44">
          <cell r="E44" t="str">
            <v>107038101003359561</v>
          </cell>
          <cell r="F44" t="str">
            <v>GRUPO MILU GP SOCIEDAD ANONIMA CERRADA - GRUPO MILU GP S.A.C.</v>
          </cell>
          <cell r="G44" t="str">
            <v xml:space="preserve">-  </v>
          </cell>
          <cell r="H44">
            <v>0</v>
          </cell>
          <cell r="I44" t="str">
            <v>-</v>
          </cell>
          <cell r="J44">
            <v>0</v>
          </cell>
          <cell r="K44" t="str">
            <v>NO</v>
          </cell>
          <cell r="L44">
            <v>0</v>
          </cell>
          <cell r="M44">
            <v>0</v>
          </cell>
          <cell r="N44" t="str">
            <v>01124-2026-39-1825-JP-CI-03</v>
          </cell>
          <cell r="O44" t="str">
            <v>3° JPL (SEDE SURCO-SAN BORJA)</v>
          </cell>
          <cell r="P44" t="str">
            <v>2026.06.12</v>
          </cell>
          <cell r="Q44">
            <v>26768.13</v>
          </cell>
          <cell r="R44" t="str">
            <v>PRESENTACION DE LA DEMANDA</v>
          </cell>
          <cell r="S44">
            <v>24522.639999999999</v>
          </cell>
        </row>
        <row r="45">
          <cell r="E45" t="str">
            <v>107038101002138745</v>
          </cell>
          <cell r="F45" t="str">
            <v>GRUPO VALEOGA S.A.C.</v>
          </cell>
          <cell r="G45" t="str">
            <v xml:space="preserve">-  </v>
          </cell>
          <cell r="H45">
            <v>0</v>
          </cell>
          <cell r="I45" t="str">
            <v>-</v>
          </cell>
          <cell r="J45">
            <v>0</v>
          </cell>
          <cell r="K45" t="str">
            <v>NO</v>
          </cell>
          <cell r="L45">
            <v>0</v>
          </cell>
          <cell r="M45">
            <v>0</v>
          </cell>
          <cell r="N45" t="str">
            <v>09746-2023-76-1817-JR-CO-11</v>
          </cell>
          <cell r="O45" t="str">
            <v xml:space="preserve">11° JUZGADO CIVIL-COMERCIAL   </v>
          </cell>
          <cell r="P45" t="str">
            <v>2023.05.15</v>
          </cell>
          <cell r="Q45">
            <v>585764.05000000005</v>
          </cell>
          <cell r="R45" t="str">
            <v>PRESENTACION DE LA DEMANDA</v>
          </cell>
          <cell r="S45">
            <v>300000</v>
          </cell>
        </row>
        <row r="46">
          <cell r="E46" t="str">
            <v>107038101002120316</v>
          </cell>
          <cell r="F46" t="str">
            <v>HEREDIA ESTELA, MARIA LEYLA</v>
          </cell>
          <cell r="G46" t="str">
            <v xml:space="preserve">-  </v>
          </cell>
          <cell r="H46">
            <v>0</v>
          </cell>
          <cell r="I46" t="str">
            <v>-</v>
          </cell>
          <cell r="J46">
            <v>0</v>
          </cell>
          <cell r="K46" t="str">
            <v>NO</v>
          </cell>
          <cell r="L46">
            <v>0</v>
          </cell>
          <cell r="M46">
            <v>0</v>
          </cell>
          <cell r="N46" t="str">
            <v>02082-2021-0-1819-JP-CI-03</v>
          </cell>
          <cell r="O46" t="str">
            <v xml:space="preserve">3° JPL BARRANCO-MIRAFLORES,   </v>
          </cell>
          <cell r="P46" t="str">
            <v>2021.06.18</v>
          </cell>
          <cell r="Q46">
            <v>15754.78</v>
          </cell>
          <cell r="R46" t="str">
            <v>PRESENTACION DE LA DEMANDA</v>
          </cell>
          <cell r="S46">
            <v>17011.97</v>
          </cell>
        </row>
        <row r="47">
          <cell r="E47" t="str">
            <v>107038101002560142</v>
          </cell>
          <cell r="F47" t="str">
            <v>HUALLPA MEJIA, EVELYN LILIANA</v>
          </cell>
          <cell r="G47" t="str">
            <v xml:space="preserve">-  </v>
          </cell>
          <cell r="H47">
            <v>0</v>
          </cell>
          <cell r="I47" t="str">
            <v>-</v>
          </cell>
          <cell r="J47">
            <v>0</v>
          </cell>
          <cell r="K47" t="str">
            <v>NO</v>
          </cell>
          <cell r="L47">
            <v>0</v>
          </cell>
          <cell r="M47">
            <v>0</v>
          </cell>
          <cell r="N47" t="str">
            <v>00695-2025-0-1820-JP-CI-02</v>
          </cell>
          <cell r="O47" t="str">
            <v>2° JPL (SEDE LINCE-SAN ISIDRO)</v>
          </cell>
          <cell r="P47" t="str">
            <v>2025.04.29</v>
          </cell>
          <cell r="Q47">
            <v>34283.129999999997</v>
          </cell>
          <cell r="R47" t="str">
            <v>PRESENTACION DE LA DEMANDA</v>
          </cell>
          <cell r="S47">
            <v>24252.91</v>
          </cell>
        </row>
        <row r="48">
          <cell r="E48" t="str">
            <v>107038101003380189</v>
          </cell>
          <cell r="F48" t="str">
            <v>HUAMAN GONZALO, EULOGIA</v>
          </cell>
          <cell r="G48" t="str">
            <v xml:space="preserve">-  </v>
          </cell>
          <cell r="H48">
            <v>0</v>
          </cell>
          <cell r="I48" t="str">
            <v>-</v>
          </cell>
          <cell r="J48">
            <v>0</v>
          </cell>
          <cell r="K48" t="str">
            <v>NO</v>
          </cell>
          <cell r="L48">
            <v>0</v>
          </cell>
          <cell r="M48">
            <v>0</v>
          </cell>
          <cell r="N48" t="str">
            <v>03082-2026-77-1828-JR-CO-01</v>
          </cell>
          <cell r="O48" t="str">
            <v>1° JUZGADO CIVIL-COMERCIAL</v>
          </cell>
          <cell r="P48" t="str">
            <v>2026.01.27</v>
          </cell>
          <cell r="Q48">
            <v>91602.68</v>
          </cell>
          <cell r="R48" t="str">
            <v>PRESENTACION DE LA DEMANDA</v>
          </cell>
          <cell r="S48">
            <v>38551.06</v>
          </cell>
        </row>
        <row r="49">
          <cell r="E49" t="str">
            <v>107038101003494648</v>
          </cell>
          <cell r="F49" t="str">
            <v>HUAMAN GONZALO, EULOGIA</v>
          </cell>
          <cell r="G49" t="str">
            <v xml:space="preserve">-  </v>
          </cell>
          <cell r="H49">
            <v>0</v>
          </cell>
          <cell r="I49" t="str">
            <v>-</v>
          </cell>
          <cell r="J49">
            <v>0</v>
          </cell>
          <cell r="K49" t="str">
            <v>NO</v>
          </cell>
          <cell r="L49">
            <v>0</v>
          </cell>
          <cell r="M49">
            <v>0</v>
          </cell>
          <cell r="N49" t="str">
            <v>03082-2026-77-1828-JR-CO-01</v>
          </cell>
          <cell r="O49" t="str">
            <v>1° JUZGADO CIVIL-COMERCIAL</v>
          </cell>
          <cell r="P49" t="str">
            <v>2026.01.27</v>
          </cell>
          <cell r="Q49">
            <v>91602.68</v>
          </cell>
          <cell r="R49" t="str">
            <v>PRESENTACION DE LA DEMANDA</v>
          </cell>
          <cell r="S49">
            <v>45674.93</v>
          </cell>
        </row>
        <row r="50">
          <cell r="E50" t="str">
            <v>107038101002383450</v>
          </cell>
          <cell r="F50" t="str">
            <v>HUAMANI RODAS, BETHSABE ALESSANDRA</v>
          </cell>
          <cell r="G50" t="str">
            <v xml:space="preserve">-  </v>
          </cell>
          <cell r="H50">
            <v>0</v>
          </cell>
          <cell r="I50" t="str">
            <v>-</v>
          </cell>
          <cell r="J50">
            <v>0</v>
          </cell>
          <cell r="K50" t="str">
            <v>NO</v>
          </cell>
          <cell r="L50">
            <v>0</v>
          </cell>
          <cell r="M50">
            <v>0</v>
          </cell>
          <cell r="N50" t="str">
            <v>02737-2023-98-1809-JP-CI-05</v>
          </cell>
          <cell r="O50" t="str">
            <v xml:space="preserve">5° JUZ PAZ LETRADO BARRANCO   </v>
          </cell>
          <cell r="P50" t="str">
            <v>2023.07.10</v>
          </cell>
          <cell r="Q50">
            <v>20533.25</v>
          </cell>
          <cell r="R50" t="str">
            <v>PRESENTACION DE LA DEMANDA</v>
          </cell>
          <cell r="S50">
            <v>19021.439999999999</v>
          </cell>
        </row>
        <row r="51">
          <cell r="E51" t="str">
            <v>107038101002765040</v>
          </cell>
          <cell r="F51" t="str">
            <v>HUANCAS VASQUEZ, LUZ JEARELY</v>
          </cell>
          <cell r="G51" t="str">
            <v xml:space="preserve">-  </v>
          </cell>
          <cell r="H51">
            <v>0</v>
          </cell>
          <cell r="I51" t="str">
            <v>-</v>
          </cell>
          <cell r="J51">
            <v>0</v>
          </cell>
          <cell r="K51" t="str">
            <v>NO</v>
          </cell>
          <cell r="L51">
            <v>0</v>
          </cell>
          <cell r="M51">
            <v>0</v>
          </cell>
          <cell r="N51" t="str">
            <v>20207-2023-45-1817-JR-CO-13</v>
          </cell>
          <cell r="O51" t="str">
            <v xml:space="preserve">13° JUZGADO CIVIL COMERCIAL   </v>
          </cell>
          <cell r="P51" t="str">
            <v>2023.09.22</v>
          </cell>
          <cell r="Q51">
            <v>57386.04</v>
          </cell>
          <cell r="R51" t="str">
            <v>PRESENTACION DE LA DEMANDA</v>
          </cell>
          <cell r="S51">
            <v>53418.78</v>
          </cell>
        </row>
        <row r="52">
          <cell r="E52" t="str">
            <v>107038101002184015</v>
          </cell>
          <cell r="F52" t="str">
            <v>INSERCOMGAS S.A.C.</v>
          </cell>
          <cell r="G52" t="str">
            <v xml:space="preserve">-  </v>
          </cell>
          <cell r="H52">
            <v>0</v>
          </cell>
          <cell r="I52" t="str">
            <v>-</v>
          </cell>
          <cell r="J52">
            <v>0</v>
          </cell>
          <cell r="K52" t="str">
            <v>NO</v>
          </cell>
          <cell r="L52">
            <v>0</v>
          </cell>
          <cell r="M52">
            <v>0</v>
          </cell>
          <cell r="N52" t="str">
            <v>22148-2024-0-1828-JR-CO-15</v>
          </cell>
          <cell r="O52" t="str">
            <v xml:space="preserve">15 JUZGADO COMERCIAL DE LIMA  </v>
          </cell>
          <cell r="P52" t="str">
            <v>2024.07.17</v>
          </cell>
          <cell r="Q52">
            <v>58679.360000000001</v>
          </cell>
          <cell r="R52" t="str">
            <v>PRESENTACION DE LA DEMANDA</v>
          </cell>
          <cell r="S52">
            <v>35898.33</v>
          </cell>
        </row>
        <row r="53">
          <cell r="E53" t="str">
            <v>107038101003375365</v>
          </cell>
          <cell r="F53" t="str">
            <v>INVERSIONES B &amp; P DEL PERU S.A.C</v>
          </cell>
          <cell r="G53" t="str">
            <v xml:space="preserve">-  </v>
          </cell>
          <cell r="H53">
            <v>0</v>
          </cell>
          <cell r="I53" t="str">
            <v>-</v>
          </cell>
          <cell r="J53">
            <v>0</v>
          </cell>
          <cell r="K53" t="str">
            <v>NO</v>
          </cell>
          <cell r="L53">
            <v>0</v>
          </cell>
          <cell r="M53">
            <v>0</v>
          </cell>
          <cell r="N53" t="str">
            <v>11341-2026-74-1828-JR-CO-07</v>
          </cell>
          <cell r="O53" t="str">
            <v>7° JUZGADO CIVIL-COMERCIAL</v>
          </cell>
          <cell r="P53" t="str">
            <v>2026.04.29</v>
          </cell>
          <cell r="Q53">
            <v>99891.04</v>
          </cell>
          <cell r="R53" t="str">
            <v>PRESENTACION DE LA DEMANDA</v>
          </cell>
          <cell r="S53">
            <v>92874.67</v>
          </cell>
        </row>
        <row r="54">
          <cell r="E54" t="str">
            <v>107038101002241665</v>
          </cell>
          <cell r="F54" t="str">
            <v>INVERSIONES CRISTELLE AD E.I.R.L.</v>
          </cell>
          <cell r="G54" t="str">
            <v>008</v>
          </cell>
          <cell r="H54">
            <v>12</v>
          </cell>
          <cell r="I54" t="str">
            <v>2026.07.28</v>
          </cell>
          <cell r="J54">
            <v>1999.6</v>
          </cell>
          <cell r="K54" t="str">
            <v>SI</v>
          </cell>
          <cell r="L54">
            <v>0</v>
          </cell>
          <cell r="M54">
            <v>128360.32000000001</v>
          </cell>
          <cell r="N54" t="str">
            <v>18650-2025-0-1828-JR-CO-12</v>
          </cell>
          <cell r="O54" t="str">
            <v>12° JUZGADO CIVIL-COMERCIAL</v>
          </cell>
          <cell r="P54" t="str">
            <v>2025.08.22</v>
          </cell>
          <cell r="Q54">
            <v>121693.71</v>
          </cell>
          <cell r="R54" t="str">
            <v>PRESENTACION DE LA DEMANDA</v>
          </cell>
          <cell r="S54">
            <v>74294.289999999994</v>
          </cell>
        </row>
        <row r="55">
          <cell r="E55" t="str">
            <v>107038101002169270</v>
          </cell>
          <cell r="F55" t="str">
            <v>INVERSIONES PARA LA PRODUCCION Y SERVICIOS S.A.C.</v>
          </cell>
          <cell r="G55" t="str">
            <v xml:space="preserve">-  </v>
          </cell>
          <cell r="H55">
            <v>0</v>
          </cell>
          <cell r="I55" t="str">
            <v>-</v>
          </cell>
          <cell r="J55">
            <v>0</v>
          </cell>
          <cell r="K55" t="str">
            <v>NO</v>
          </cell>
          <cell r="L55">
            <v>0</v>
          </cell>
          <cell r="M55">
            <v>0</v>
          </cell>
          <cell r="N55" t="str">
            <v>06415-2023-0-1809-JP-CI-04</v>
          </cell>
          <cell r="O55" t="str">
            <v>4° JUZ PAZ LETRADO DE BARRANCO</v>
          </cell>
          <cell r="P55" t="str">
            <v>2023.12.28</v>
          </cell>
          <cell r="Q55">
            <v>28483.49</v>
          </cell>
          <cell r="R55" t="str">
            <v>PRESENTACION DE LA DEMANDA</v>
          </cell>
          <cell r="S55">
            <v>20193.93</v>
          </cell>
        </row>
        <row r="56">
          <cell r="E56" t="str">
            <v>107038101002129852</v>
          </cell>
          <cell r="F56" t="str">
            <v>ISAMARA CATERING EIRL</v>
          </cell>
          <cell r="G56" t="str">
            <v xml:space="preserve">-  </v>
          </cell>
          <cell r="H56">
            <v>0</v>
          </cell>
          <cell r="I56" t="str">
            <v>-</v>
          </cell>
          <cell r="J56">
            <v>0</v>
          </cell>
          <cell r="K56" t="str">
            <v>NO</v>
          </cell>
          <cell r="L56">
            <v>0</v>
          </cell>
          <cell r="M56">
            <v>0</v>
          </cell>
          <cell r="N56" t="str">
            <v>02154-2023-95-1809-JP-CI-01</v>
          </cell>
          <cell r="O56" t="str">
            <v>1°JUZGADO DE PAZ LETRADO MIRAF</v>
          </cell>
          <cell r="P56" t="str">
            <v>2023.05.26</v>
          </cell>
          <cell r="Q56">
            <v>23158.82</v>
          </cell>
          <cell r="R56" t="str">
            <v>PRESENTACION DE LA DEMANDA</v>
          </cell>
          <cell r="S56">
            <v>14826.53</v>
          </cell>
        </row>
        <row r="57">
          <cell r="E57" t="str">
            <v>107038101002117778</v>
          </cell>
          <cell r="F57" t="str">
            <v>JOHARI M &amp; N INVERSIONES E.I.R.L.</v>
          </cell>
          <cell r="G57" t="str">
            <v xml:space="preserve">-  </v>
          </cell>
          <cell r="H57">
            <v>0</v>
          </cell>
          <cell r="I57" t="str">
            <v>-</v>
          </cell>
          <cell r="J57">
            <v>0</v>
          </cell>
          <cell r="K57" t="str">
            <v>NO</v>
          </cell>
          <cell r="L57">
            <v>0</v>
          </cell>
          <cell r="M57">
            <v>0</v>
          </cell>
          <cell r="N57" t="str">
            <v>04403-2023-0-1801-JP-CI-03</v>
          </cell>
          <cell r="O57" t="str">
            <v xml:space="preserve">9° JUZGADO PAZ LETRADO LIMA   </v>
          </cell>
          <cell r="P57" t="str">
            <v>2021.12.22</v>
          </cell>
          <cell r="Q57">
            <v>12538.41</v>
          </cell>
          <cell r="R57" t="str">
            <v>ABANDONO DEL PROCESO</v>
          </cell>
          <cell r="S57">
            <v>11278.67</v>
          </cell>
        </row>
        <row r="58">
          <cell r="E58" t="str">
            <v>107038101002561981</v>
          </cell>
          <cell r="F58" t="str">
            <v>JURADO REMICIO, LLINDER HAROLDO</v>
          </cell>
          <cell r="G58" t="str">
            <v xml:space="preserve">-  </v>
          </cell>
          <cell r="H58">
            <v>0</v>
          </cell>
          <cell r="I58" t="str">
            <v>-</v>
          </cell>
          <cell r="J58">
            <v>0</v>
          </cell>
          <cell r="K58" t="str">
            <v>NO</v>
          </cell>
          <cell r="L58">
            <v>0</v>
          </cell>
          <cell r="M58">
            <v>0</v>
          </cell>
          <cell r="N58" t="str">
            <v>00697-2025-0-1820-JP-CI-03</v>
          </cell>
          <cell r="O58" t="str">
            <v>3° JPL (SEDE LINCE-SAN ISIDRO)</v>
          </cell>
          <cell r="P58" t="str">
            <v>2025.04.29</v>
          </cell>
          <cell r="Q58">
            <v>25386.5</v>
          </cell>
          <cell r="R58" t="str">
            <v>PRESENTACION DE LA DEMANDA</v>
          </cell>
          <cell r="S58">
            <v>17877.98</v>
          </cell>
        </row>
        <row r="59">
          <cell r="E59" t="str">
            <v>107038101002204828</v>
          </cell>
          <cell r="F59" t="str">
            <v>LFA &amp; SUMINISTROS MINEROS S.A.C. LFA &amp; SUMIN S.A.C.</v>
          </cell>
          <cell r="G59" t="str">
            <v xml:space="preserve">-  </v>
          </cell>
          <cell r="H59">
            <v>0</v>
          </cell>
          <cell r="I59" t="str">
            <v>-</v>
          </cell>
          <cell r="J59">
            <v>0</v>
          </cell>
          <cell r="K59" t="str">
            <v>NO</v>
          </cell>
          <cell r="L59">
            <v>0</v>
          </cell>
          <cell r="M59">
            <v>0</v>
          </cell>
          <cell r="N59" t="str">
            <v>24453-2023-0-1817-JR-CO-16</v>
          </cell>
          <cell r="O59" t="str">
            <v xml:space="preserve">16° JUZGADO CIVIL - COMERCIAL </v>
          </cell>
          <cell r="P59" t="str">
            <v>2023.10.31</v>
          </cell>
          <cell r="Q59">
            <v>87357.15</v>
          </cell>
          <cell r="R59" t="str">
            <v>PRESENTACION DE LA DEMANDA</v>
          </cell>
          <cell r="S59">
            <v>67011.320000000007</v>
          </cell>
        </row>
        <row r="60">
          <cell r="E60" t="str">
            <v>107038101003470973</v>
          </cell>
          <cell r="F60" t="str">
            <v>LI, WANZHU</v>
          </cell>
          <cell r="G60" t="str">
            <v xml:space="preserve">-  </v>
          </cell>
          <cell r="H60">
            <v>0</v>
          </cell>
          <cell r="I60" t="str">
            <v>-</v>
          </cell>
          <cell r="J60">
            <v>0</v>
          </cell>
          <cell r="K60" t="str">
            <v>NO</v>
          </cell>
          <cell r="L60">
            <v>0</v>
          </cell>
          <cell r="M60">
            <v>0</v>
          </cell>
          <cell r="N60" t="str">
            <v>00991-2026-17-1866-JP-CI-03</v>
          </cell>
          <cell r="O60" t="str">
            <v xml:space="preserve">3° JPL BARRANCO-MIRAFLORES,   </v>
          </cell>
          <cell r="P60" t="str">
            <v>2026.02.27</v>
          </cell>
          <cell r="Q60">
            <v>51272.87</v>
          </cell>
          <cell r="R60" t="str">
            <v>PRESENTACION DE LA DEMANDA</v>
          </cell>
          <cell r="S60">
            <v>47353.9</v>
          </cell>
        </row>
        <row r="61">
          <cell r="E61" t="str">
            <v>107038101002140318</v>
          </cell>
          <cell r="F61" t="str">
            <v>LMC CONSTRUCCION &amp; INGENIERIA S.A.C</v>
          </cell>
          <cell r="G61" t="str">
            <v xml:space="preserve">-  </v>
          </cell>
          <cell r="H61">
            <v>0</v>
          </cell>
          <cell r="I61" t="str">
            <v>-</v>
          </cell>
          <cell r="J61">
            <v>0</v>
          </cell>
          <cell r="K61" t="str">
            <v>NO</v>
          </cell>
          <cell r="L61">
            <v>0</v>
          </cell>
          <cell r="M61">
            <v>0</v>
          </cell>
          <cell r="N61" t="str">
            <v>02102-2023-0-1809-JP-CI-03</v>
          </cell>
          <cell r="O61" t="str">
            <v xml:space="preserve">3° JPL BARRANCO-MIRAFLORES,   </v>
          </cell>
          <cell r="P61" t="str">
            <v>2023.05.19</v>
          </cell>
          <cell r="Q61">
            <v>16548.810000000001</v>
          </cell>
          <cell r="R61" t="str">
            <v>PRESENTACION DE LA DEMANDA</v>
          </cell>
          <cell r="S61">
            <v>10893.75</v>
          </cell>
        </row>
        <row r="62">
          <cell r="E62" t="str">
            <v>107038101002904855</v>
          </cell>
          <cell r="F62" t="str">
            <v>LOSSIO OLAVARRIA, ERNESTO GABRIEL</v>
          </cell>
          <cell r="G62" t="str">
            <v xml:space="preserve">-  </v>
          </cell>
          <cell r="H62">
            <v>0</v>
          </cell>
          <cell r="I62" t="str">
            <v>-</v>
          </cell>
          <cell r="J62">
            <v>0</v>
          </cell>
          <cell r="K62" t="str">
            <v>NO</v>
          </cell>
          <cell r="L62">
            <v>0</v>
          </cell>
          <cell r="M62">
            <v>0</v>
          </cell>
          <cell r="N62" t="str">
            <v>02711-2024-91-1866-JP-CI-03</v>
          </cell>
          <cell r="O62" t="str">
            <v xml:space="preserve">3° JPL BARRANCO-MIRAFLORES,   </v>
          </cell>
          <cell r="P62" t="str">
            <v>2024.06.24</v>
          </cell>
          <cell r="Q62">
            <v>12013.87</v>
          </cell>
          <cell r="R62" t="str">
            <v>PRESENTACION DE LA DEMANDA</v>
          </cell>
          <cell r="S62">
            <v>10889.64</v>
          </cell>
        </row>
        <row r="63">
          <cell r="E63" t="str">
            <v>107038101002196804</v>
          </cell>
          <cell r="F63" t="str">
            <v>LVL EXPORT S.A.C.</v>
          </cell>
          <cell r="G63" t="str">
            <v xml:space="preserve">-  </v>
          </cell>
          <cell r="H63">
            <v>0</v>
          </cell>
          <cell r="I63" t="str">
            <v>-</v>
          </cell>
          <cell r="J63">
            <v>0</v>
          </cell>
          <cell r="K63" t="str">
            <v>NO</v>
          </cell>
          <cell r="L63">
            <v>0</v>
          </cell>
          <cell r="M63">
            <v>0</v>
          </cell>
          <cell r="N63" t="str">
            <v>09392-2025-0-1828-JR-CO-05</v>
          </cell>
          <cell r="O63" t="str">
            <v xml:space="preserve">5° JUZGADA CIVIL - COMERCIAL  </v>
          </cell>
          <cell r="P63" t="str">
            <v>2025.04.29</v>
          </cell>
          <cell r="Q63">
            <v>58571.43</v>
          </cell>
          <cell r="R63" t="str">
            <v>PRESENTACION DE LA DEMANDA</v>
          </cell>
          <cell r="S63">
            <v>5220.29</v>
          </cell>
        </row>
        <row r="64">
          <cell r="E64" t="str">
            <v>107038101003186602</v>
          </cell>
          <cell r="F64" t="str">
            <v>MAMANI FARFAN, VINCENT DAVID</v>
          </cell>
          <cell r="G64" t="str">
            <v xml:space="preserve">-  </v>
          </cell>
          <cell r="H64">
            <v>0</v>
          </cell>
          <cell r="I64" t="str">
            <v>-</v>
          </cell>
          <cell r="J64">
            <v>0</v>
          </cell>
          <cell r="K64" t="str">
            <v>NO</v>
          </cell>
          <cell r="L64">
            <v>0</v>
          </cell>
          <cell r="M64">
            <v>0</v>
          </cell>
          <cell r="N64" t="str">
            <v>01420-2025-0-1820-JP-CI-03</v>
          </cell>
          <cell r="O64" t="str">
            <v>3° JPL (SEDE LINCE-SAN ISIDRO)</v>
          </cell>
          <cell r="P64" t="str">
            <v>2025.09.04</v>
          </cell>
          <cell r="Q64">
            <v>23824.37</v>
          </cell>
          <cell r="R64" t="str">
            <v>PRESENTACION DE LA DEMANDA</v>
          </cell>
          <cell r="S64">
            <v>20000</v>
          </cell>
        </row>
        <row r="65">
          <cell r="E65" t="str">
            <v>107038101003256006</v>
          </cell>
          <cell r="F65" t="str">
            <v>MARCACUZCO PALOMINO, NICOL ALONDRA</v>
          </cell>
          <cell r="G65" t="str">
            <v xml:space="preserve">-  </v>
          </cell>
          <cell r="H65">
            <v>0</v>
          </cell>
          <cell r="I65" t="str">
            <v>-</v>
          </cell>
          <cell r="J65">
            <v>0</v>
          </cell>
          <cell r="K65" t="str">
            <v>NO</v>
          </cell>
          <cell r="L65">
            <v>0</v>
          </cell>
          <cell r="M65">
            <v>0</v>
          </cell>
          <cell r="N65" t="str">
            <v>13985-2025-57-1828-JR-CO-03</v>
          </cell>
          <cell r="O65" t="str">
            <v xml:space="preserve">3° JUZ CIVIL COMERCIAL        </v>
          </cell>
          <cell r="P65" t="str">
            <v>2025.06.25</v>
          </cell>
          <cell r="Q65">
            <v>79201.08</v>
          </cell>
          <cell r="R65" t="str">
            <v>PRESENTACION DE LA DEMANDA</v>
          </cell>
          <cell r="S65">
            <v>72547.399999999994</v>
          </cell>
        </row>
        <row r="66">
          <cell r="E66" t="str">
            <v>107038101002173077</v>
          </cell>
          <cell r="F66" t="str">
            <v>MARIN MARTOS, BETTY GLORIA</v>
          </cell>
          <cell r="G66" t="str">
            <v xml:space="preserve">-  </v>
          </cell>
          <cell r="H66">
            <v>0</v>
          </cell>
          <cell r="I66" t="str">
            <v>-</v>
          </cell>
          <cell r="J66">
            <v>0</v>
          </cell>
          <cell r="K66" t="str">
            <v>NO</v>
          </cell>
          <cell r="L66">
            <v>0</v>
          </cell>
          <cell r="M66">
            <v>0</v>
          </cell>
          <cell r="N66" t="str">
            <v>02132-2023-11-1809-JP-CI-02</v>
          </cell>
          <cell r="O66" t="str">
            <v>2° Juzgado de Paz letrado barr</v>
          </cell>
          <cell r="P66" t="str">
            <v>2023.05.24</v>
          </cell>
          <cell r="Q66">
            <v>23843.8</v>
          </cell>
          <cell r="R66" t="str">
            <v>PRESENTACION DE LA DEMANDA</v>
          </cell>
          <cell r="S66">
            <v>13100.7</v>
          </cell>
        </row>
        <row r="67">
          <cell r="E67" t="str">
            <v>107038101003030569</v>
          </cell>
          <cell r="F67" t="str">
            <v>MEJIA VEGA, DENIS</v>
          </cell>
          <cell r="G67" t="str">
            <v xml:space="preserve">-  </v>
          </cell>
          <cell r="H67">
            <v>0</v>
          </cell>
          <cell r="I67" t="str">
            <v>-</v>
          </cell>
          <cell r="J67">
            <v>0</v>
          </cell>
          <cell r="K67" t="str">
            <v>NO</v>
          </cell>
          <cell r="L67">
            <v>0</v>
          </cell>
          <cell r="M67">
            <v>0</v>
          </cell>
          <cell r="N67" t="str">
            <v>01418-2025-0-1820-JP-CI-04</v>
          </cell>
          <cell r="O67" t="str">
            <v>4° JPL (SEDE LINCE-SAN ISIDRO)</v>
          </cell>
          <cell r="P67" t="str">
            <v>2025.09.04</v>
          </cell>
          <cell r="Q67">
            <v>32686.1</v>
          </cell>
          <cell r="R67" t="str">
            <v>PRESENTACION DE LA DEMANDA</v>
          </cell>
          <cell r="S67">
            <v>27755.29</v>
          </cell>
        </row>
        <row r="68">
          <cell r="E68" t="str">
            <v>107038101002484585</v>
          </cell>
          <cell r="F68" t="str">
            <v>MENDOZA HUAMANI, HERLINDA GREGORIA</v>
          </cell>
          <cell r="G68" t="str">
            <v xml:space="preserve">-  </v>
          </cell>
          <cell r="H68">
            <v>0</v>
          </cell>
          <cell r="I68" t="str">
            <v>-</v>
          </cell>
          <cell r="J68">
            <v>0</v>
          </cell>
          <cell r="K68" t="str">
            <v>NO</v>
          </cell>
          <cell r="L68">
            <v>0</v>
          </cell>
          <cell r="M68">
            <v>0</v>
          </cell>
          <cell r="N68" t="str">
            <v>01572-2024-14-1866-JP-CI-03</v>
          </cell>
          <cell r="O68" t="str">
            <v xml:space="preserve">3° JPL BARRANCO-MIRAFLORES,   </v>
          </cell>
          <cell r="P68" t="str">
            <v>2024.04.18</v>
          </cell>
          <cell r="Q68">
            <v>26559.119999999999</v>
          </cell>
          <cell r="R68" t="str">
            <v>PRESENTACION DE LA DEMANDA</v>
          </cell>
          <cell r="S68">
            <v>24939.7</v>
          </cell>
        </row>
        <row r="69">
          <cell r="E69" t="str">
            <v>107038101002204929</v>
          </cell>
          <cell r="F69" t="str">
            <v>MORALES SANCHEZ, DANY DANIEL</v>
          </cell>
          <cell r="G69" t="str">
            <v>012</v>
          </cell>
          <cell r="H69">
            <v>12</v>
          </cell>
          <cell r="I69" t="str">
            <v>2025.08.28</v>
          </cell>
          <cell r="J69">
            <v>12532.5</v>
          </cell>
          <cell r="K69" t="str">
            <v>NO</v>
          </cell>
          <cell r="L69">
            <v>307</v>
          </cell>
          <cell r="M69">
            <v>65673.67</v>
          </cell>
          <cell r="N69" t="str">
            <v>10489-2023-68-1817-JR-CO-07</v>
          </cell>
          <cell r="O69" t="str">
            <v xml:space="preserve">7° JUZUZGADO CIVIL-COMERCIAL  </v>
          </cell>
          <cell r="P69" t="str">
            <v>2023.05.25</v>
          </cell>
          <cell r="Q69">
            <v>296374.09000000003</v>
          </cell>
          <cell r="R69" t="str">
            <v>PRESENTACION DE LA DEMANDA</v>
          </cell>
          <cell r="S69">
            <v>105391.82</v>
          </cell>
        </row>
        <row r="70">
          <cell r="E70" t="str">
            <v>107038101002133639</v>
          </cell>
          <cell r="F70" t="str">
            <v>MUÑOZ ALVARADO, BRIGGIT DAYANNE</v>
          </cell>
          <cell r="G70" t="str">
            <v xml:space="preserve">-  </v>
          </cell>
          <cell r="H70">
            <v>0</v>
          </cell>
          <cell r="I70" t="str">
            <v>-</v>
          </cell>
          <cell r="J70">
            <v>0</v>
          </cell>
          <cell r="K70" t="str">
            <v>NO</v>
          </cell>
          <cell r="L70">
            <v>0</v>
          </cell>
          <cell r="M70">
            <v>0</v>
          </cell>
          <cell r="N70" t="str">
            <v>03104-2023-0-1809-JP-CI-05</v>
          </cell>
          <cell r="O70" t="str">
            <v xml:space="preserve">5° JUZ PAZ LETRADO BARRANCO   </v>
          </cell>
          <cell r="P70" t="str">
            <v>2023.07.24</v>
          </cell>
          <cell r="Q70">
            <v>30648.95</v>
          </cell>
          <cell r="R70" t="str">
            <v>PRESENTACION DE LA DEMANDA</v>
          </cell>
          <cell r="S70">
            <v>22723.439999999999</v>
          </cell>
        </row>
        <row r="71">
          <cell r="E71" t="str">
            <v>107038101002226507</v>
          </cell>
          <cell r="F71" t="str">
            <v>NEYRA NEYRA, ADRIAN ALAIN</v>
          </cell>
          <cell r="G71" t="str">
            <v xml:space="preserve">-  </v>
          </cell>
          <cell r="H71">
            <v>0</v>
          </cell>
          <cell r="I71" t="str">
            <v>-</v>
          </cell>
          <cell r="J71">
            <v>0</v>
          </cell>
          <cell r="K71" t="str">
            <v>NO</v>
          </cell>
          <cell r="L71">
            <v>0</v>
          </cell>
          <cell r="M71">
            <v>0</v>
          </cell>
          <cell r="N71" t="str">
            <v>04834-2022-0-1809-JP-CI-02</v>
          </cell>
          <cell r="O71" t="str">
            <v xml:space="preserve">2º JUZGADO DE PAZ LETRADO     </v>
          </cell>
          <cell r="P71" t="str">
            <v>2022.12.28</v>
          </cell>
          <cell r="Q71">
            <v>19414.62</v>
          </cell>
          <cell r="R71" t="str">
            <v>PRESENTACION DE LA DEMANDA</v>
          </cell>
          <cell r="S71">
            <v>10000</v>
          </cell>
        </row>
        <row r="72">
          <cell r="E72" t="str">
            <v>107038101002119871</v>
          </cell>
          <cell r="F72" t="str">
            <v>NUEVA SIERRA SAC</v>
          </cell>
          <cell r="G72" t="str">
            <v xml:space="preserve">-  </v>
          </cell>
          <cell r="H72">
            <v>0</v>
          </cell>
          <cell r="I72" t="str">
            <v>-</v>
          </cell>
          <cell r="J72">
            <v>0</v>
          </cell>
          <cell r="K72" t="str">
            <v>NO</v>
          </cell>
          <cell r="L72">
            <v>0</v>
          </cell>
          <cell r="M72">
            <v>0</v>
          </cell>
          <cell r="N72" t="str">
            <v>19336-2023-27-1817-JR-CO-07</v>
          </cell>
          <cell r="O72" t="str">
            <v xml:space="preserve">7° JUZUZGADO CIVIL-COMERCIAL  </v>
          </cell>
          <cell r="P72" t="str">
            <v>2023.09.13</v>
          </cell>
          <cell r="Q72">
            <v>220683.44</v>
          </cell>
          <cell r="R72" t="str">
            <v>PRESENTACION DE LA DEMANDA</v>
          </cell>
          <cell r="S72">
            <v>10503.71</v>
          </cell>
        </row>
        <row r="73">
          <cell r="E73" t="str">
            <v>107038101003341883</v>
          </cell>
          <cell r="F73" t="str">
            <v>PAQUICO ACHACO, TEODOSIA FRANCISCA</v>
          </cell>
          <cell r="G73" t="str">
            <v xml:space="preserve">-  </v>
          </cell>
          <cell r="H73">
            <v>0</v>
          </cell>
          <cell r="I73" t="str">
            <v>-</v>
          </cell>
          <cell r="J73">
            <v>0</v>
          </cell>
          <cell r="K73" t="str">
            <v>NO</v>
          </cell>
          <cell r="L73">
            <v>0</v>
          </cell>
          <cell r="M73">
            <v>0</v>
          </cell>
          <cell r="N73" t="str">
            <v>00805-2026-62-1825-JP-CI-03</v>
          </cell>
          <cell r="O73" t="str">
            <v>3° JPL (SEDE SURCO-SAN BORJA)</v>
          </cell>
          <cell r="P73" t="str">
            <v>2026.04.30</v>
          </cell>
          <cell r="Q73">
            <v>34526.18</v>
          </cell>
          <cell r="R73" t="str">
            <v>PRESENTACION DE LA DEMANDA</v>
          </cell>
          <cell r="S73">
            <v>31258.53</v>
          </cell>
        </row>
        <row r="74">
          <cell r="E74" t="str">
            <v>107038101003312449</v>
          </cell>
          <cell r="F74" t="str">
            <v>PINCHI ARMAS, LUCINDA YDALITH</v>
          </cell>
          <cell r="G74" t="str">
            <v xml:space="preserve">-  </v>
          </cell>
          <cell r="H74">
            <v>0</v>
          </cell>
          <cell r="I74" t="str">
            <v>-</v>
          </cell>
          <cell r="J74">
            <v>0</v>
          </cell>
          <cell r="K74" t="str">
            <v>NO</v>
          </cell>
          <cell r="L74">
            <v>0</v>
          </cell>
          <cell r="M74">
            <v>0</v>
          </cell>
          <cell r="N74" t="str">
            <v>05359-2025-78-1828-JR-CO-06</v>
          </cell>
          <cell r="O74" t="str">
            <v>6° JUZGADO CIVIL - COMERCIAL L</v>
          </cell>
          <cell r="P74" t="str">
            <v>2025.03.06</v>
          </cell>
          <cell r="Q74">
            <v>61223.75</v>
          </cell>
          <cell r="R74" t="str">
            <v>PRESENTACION DE LA DEMANDA</v>
          </cell>
          <cell r="S74">
            <v>57404.84</v>
          </cell>
        </row>
        <row r="75">
          <cell r="E75" t="str">
            <v>107038101002365202</v>
          </cell>
          <cell r="F75" t="str">
            <v>PORROA SAAVEDRA, BETTSY KATERINE</v>
          </cell>
          <cell r="G75" t="str">
            <v>003</v>
          </cell>
          <cell r="H75">
            <v>12</v>
          </cell>
          <cell r="I75" t="str">
            <v>2026.07.30</v>
          </cell>
          <cell r="J75">
            <v>800</v>
          </cell>
          <cell r="K75" t="str">
            <v>SI</v>
          </cell>
          <cell r="L75">
            <v>0</v>
          </cell>
          <cell r="M75">
            <v>31546.98</v>
          </cell>
          <cell r="N75" t="str">
            <v>01672-2023-0-1809-JP-CI-03</v>
          </cell>
          <cell r="O75" t="str">
            <v xml:space="preserve">3° JPL BARRANCO-MIRAFLORES,   </v>
          </cell>
          <cell r="P75" t="str">
            <v>2023.04.15</v>
          </cell>
          <cell r="Q75">
            <v>44612.54</v>
          </cell>
          <cell r="R75" t="str">
            <v>PRESENTACION DE LA DEMANDA</v>
          </cell>
          <cell r="S75">
            <v>9174.98</v>
          </cell>
        </row>
        <row r="76">
          <cell r="E76" t="str">
            <v>107038101002159693</v>
          </cell>
          <cell r="F76" t="str">
            <v>QUISPE DIAZ, EDITH LAGOS</v>
          </cell>
          <cell r="G76" t="str">
            <v xml:space="preserve">-  </v>
          </cell>
          <cell r="H76">
            <v>0</v>
          </cell>
          <cell r="I76" t="str">
            <v>-</v>
          </cell>
          <cell r="J76">
            <v>0</v>
          </cell>
          <cell r="K76" t="str">
            <v>NO</v>
          </cell>
          <cell r="L76">
            <v>0</v>
          </cell>
          <cell r="M76">
            <v>0</v>
          </cell>
          <cell r="N76" t="str">
            <v>02115-2023-0-1809-JP-CI-03</v>
          </cell>
          <cell r="O76" t="str">
            <v xml:space="preserve">3° JPL BARRANCO-MIRAFLORES,   </v>
          </cell>
          <cell r="P76" t="str">
            <v>2023.05.23</v>
          </cell>
          <cell r="Q76">
            <v>40458.910000000003</v>
          </cell>
          <cell r="R76" t="str">
            <v>PRESENTACION DE LA DEMANDA</v>
          </cell>
          <cell r="S76">
            <v>20000</v>
          </cell>
        </row>
        <row r="77">
          <cell r="E77" t="str">
            <v>107038101003187584</v>
          </cell>
          <cell r="F77" t="str">
            <v>RAMIREZ CORDOVA, SANDY</v>
          </cell>
          <cell r="G77" t="str">
            <v xml:space="preserve">-  </v>
          </cell>
          <cell r="H77">
            <v>0</v>
          </cell>
          <cell r="I77" t="str">
            <v>-</v>
          </cell>
          <cell r="J77">
            <v>0</v>
          </cell>
          <cell r="K77" t="str">
            <v>NO</v>
          </cell>
          <cell r="L77">
            <v>0</v>
          </cell>
          <cell r="M77">
            <v>0</v>
          </cell>
          <cell r="N77" t="str">
            <v>00351-2026-42-1866-JP-CI-03</v>
          </cell>
          <cell r="O77" t="str">
            <v xml:space="preserve">3° JPL BARRANCO-MIRAFLORES,   </v>
          </cell>
          <cell r="P77" t="str">
            <v>2026.01.26</v>
          </cell>
          <cell r="Q77">
            <v>37226.230000000003</v>
          </cell>
          <cell r="R77" t="str">
            <v>PRESENTACION DE LA DEMANDA</v>
          </cell>
          <cell r="S77">
            <v>34624.959999999999</v>
          </cell>
        </row>
        <row r="78">
          <cell r="E78" t="str">
            <v>107038101003356283</v>
          </cell>
          <cell r="F78" t="str">
            <v>RAMIREZ CORDOVA, SANDY</v>
          </cell>
          <cell r="G78" t="str">
            <v xml:space="preserve">-  </v>
          </cell>
          <cell r="H78">
            <v>0</v>
          </cell>
          <cell r="I78" t="str">
            <v>-</v>
          </cell>
          <cell r="J78">
            <v>0</v>
          </cell>
          <cell r="K78" t="str">
            <v>NO</v>
          </cell>
          <cell r="L78">
            <v>0</v>
          </cell>
          <cell r="M78">
            <v>0</v>
          </cell>
          <cell r="N78" t="str">
            <v>00447-2026-57-1825-JP-CI-03</v>
          </cell>
          <cell r="O78" t="str">
            <v xml:space="preserve">3°JPL de surco                </v>
          </cell>
          <cell r="P78" t="str">
            <v>2026.03.05</v>
          </cell>
          <cell r="Q78">
            <v>38619.26</v>
          </cell>
          <cell r="R78" t="str">
            <v>PRESENTACION DE LA DEMANDA</v>
          </cell>
          <cell r="S78">
            <v>34044.36</v>
          </cell>
        </row>
        <row r="79">
          <cell r="E79" t="str">
            <v>107038101002092861</v>
          </cell>
          <cell r="F79" t="str">
            <v>REPRESENTACIONES 4.L.L. S.A.C</v>
          </cell>
          <cell r="G79" t="str">
            <v xml:space="preserve">-  </v>
          </cell>
          <cell r="H79">
            <v>0</v>
          </cell>
          <cell r="I79" t="str">
            <v>-</v>
          </cell>
          <cell r="J79">
            <v>0</v>
          </cell>
          <cell r="K79" t="str">
            <v>NO</v>
          </cell>
          <cell r="L79">
            <v>0</v>
          </cell>
          <cell r="M79">
            <v>0</v>
          </cell>
          <cell r="N79" t="str">
            <v>02226-2023-0-1817-JR-CO-10</v>
          </cell>
          <cell r="O79" t="str">
            <v xml:space="preserve">10° Juz Civil Comercial       </v>
          </cell>
          <cell r="P79" t="str">
            <v>2023.02.02</v>
          </cell>
          <cell r="Q79">
            <v>69480.52</v>
          </cell>
          <cell r="R79" t="str">
            <v>PRESENTACION DE LA DEMANDA</v>
          </cell>
          <cell r="S79">
            <v>23483.45</v>
          </cell>
        </row>
        <row r="80">
          <cell r="E80" t="str">
            <v>107038101003012127</v>
          </cell>
          <cell r="F80" t="str">
            <v>RIVAS SIMON, DAVIS ELIAS</v>
          </cell>
          <cell r="G80" t="str">
            <v xml:space="preserve">-  </v>
          </cell>
          <cell r="H80">
            <v>0</v>
          </cell>
          <cell r="I80" t="str">
            <v>-</v>
          </cell>
          <cell r="J80">
            <v>0</v>
          </cell>
          <cell r="K80" t="str">
            <v>NO</v>
          </cell>
          <cell r="L80">
            <v>0</v>
          </cell>
          <cell r="M80">
            <v>0</v>
          </cell>
          <cell r="N80" t="str">
            <v>03943-2024-6-1866-JP-CI-02</v>
          </cell>
          <cell r="O80" t="str">
            <v>2° Juzgado de Paz letrado barr</v>
          </cell>
          <cell r="P80" t="str">
            <v>2024.08.26</v>
          </cell>
          <cell r="Q80">
            <v>42268.79</v>
          </cell>
          <cell r="R80" t="str">
            <v>PRESENTACION DE LA DEMANDA</v>
          </cell>
          <cell r="S80">
            <v>39405.980000000003</v>
          </cell>
        </row>
        <row r="81">
          <cell r="E81" t="str">
            <v>107038101003343467</v>
          </cell>
          <cell r="F81" t="str">
            <v>SALCEDO SUCA, CARLOS ALFONSO</v>
          </cell>
          <cell r="G81" t="str">
            <v>011</v>
          </cell>
          <cell r="H81">
            <v>12</v>
          </cell>
          <cell r="I81" t="str">
            <v>2026.07.22</v>
          </cell>
          <cell r="J81">
            <v>400</v>
          </cell>
          <cell r="K81" t="str">
            <v>SI</v>
          </cell>
          <cell r="L81">
            <v>0</v>
          </cell>
          <cell r="M81">
            <v>18452.759999999998</v>
          </cell>
          <cell r="N81" t="str">
            <v>03191-2025-20-1866-JP-CI-03</v>
          </cell>
          <cell r="O81" t="str">
            <v xml:space="preserve">3° JPL BARRANCO-MIRAFLORES,   </v>
          </cell>
          <cell r="P81" t="str">
            <v>2025.07.31</v>
          </cell>
          <cell r="Q81">
            <v>17443.38</v>
          </cell>
          <cell r="R81" t="str">
            <v>PRESENTACION DE LA DEMANDA</v>
          </cell>
          <cell r="S81">
            <v>9851.02</v>
          </cell>
        </row>
        <row r="82">
          <cell r="E82" t="str">
            <v>107038101002761400</v>
          </cell>
          <cell r="F82" t="str">
            <v>SERVICIOS INTEGRALES GALINDO S.A.C</v>
          </cell>
          <cell r="G82" t="str">
            <v>002</v>
          </cell>
          <cell r="H82">
            <v>12</v>
          </cell>
          <cell r="I82" t="str">
            <v>2026.07.23</v>
          </cell>
          <cell r="J82">
            <v>1499.9</v>
          </cell>
          <cell r="K82" t="str">
            <v>SI</v>
          </cell>
          <cell r="L82">
            <v>0</v>
          </cell>
          <cell r="M82">
            <v>62037.9</v>
          </cell>
          <cell r="N82" t="str">
            <v>13886-2024-53-1828-JR-CO-13</v>
          </cell>
          <cell r="O82" t="str">
            <v xml:space="preserve">13° JUZGADO CIVIL COMERCIAL   </v>
          </cell>
          <cell r="P82" t="str">
            <v>2024.04.22</v>
          </cell>
          <cell r="Q82">
            <v>70648.61</v>
          </cell>
          <cell r="R82" t="str">
            <v>PRESENTACION DE LA DEMANDA</v>
          </cell>
          <cell r="S82">
            <v>36808.639999999999</v>
          </cell>
        </row>
        <row r="83">
          <cell r="E83" t="str">
            <v>107038101003052595</v>
          </cell>
          <cell r="F83" t="str">
            <v>SILVA PANDURO, KENNETT ALEXIS</v>
          </cell>
          <cell r="G83" t="str">
            <v xml:space="preserve">-  </v>
          </cell>
          <cell r="H83">
            <v>0</v>
          </cell>
          <cell r="I83" t="str">
            <v>-</v>
          </cell>
          <cell r="J83">
            <v>0</v>
          </cell>
          <cell r="K83" t="str">
            <v>NO</v>
          </cell>
          <cell r="L83">
            <v>0</v>
          </cell>
          <cell r="M83">
            <v>0</v>
          </cell>
          <cell r="N83" t="str">
            <v>01421-2025-0-1820-JP-CI-04</v>
          </cell>
          <cell r="O83" t="str">
            <v>4° JPL (SEDE LINCE-SAN ISIDRO)</v>
          </cell>
          <cell r="P83" t="str">
            <v>2025.09.04</v>
          </cell>
          <cell r="Q83">
            <v>34285.67</v>
          </cell>
          <cell r="R83" t="str">
            <v>PRESENTACION DE LA DEMANDA</v>
          </cell>
          <cell r="S83">
            <v>29132.49</v>
          </cell>
        </row>
        <row r="84">
          <cell r="E84" t="str">
            <v>107038101002171069</v>
          </cell>
          <cell r="F84" t="str">
            <v>TOLENTINO CALLUPE, ROBERTO JUAN</v>
          </cell>
          <cell r="G84" t="str">
            <v xml:space="preserve">-  </v>
          </cell>
          <cell r="H84">
            <v>0</v>
          </cell>
          <cell r="I84" t="str">
            <v>-</v>
          </cell>
          <cell r="J84">
            <v>0</v>
          </cell>
          <cell r="K84" t="str">
            <v>NO</v>
          </cell>
          <cell r="L84">
            <v>0</v>
          </cell>
          <cell r="M84">
            <v>0</v>
          </cell>
          <cell r="N84" t="str">
            <v>02101-2023-0-1809-JP-CI-04</v>
          </cell>
          <cell r="O84" t="str">
            <v>4° JUZ PAZ LETRADO DE BARRANCO</v>
          </cell>
          <cell r="P84" t="str">
            <v>2023.05.19</v>
          </cell>
          <cell r="Q84">
            <v>23809.41</v>
          </cell>
          <cell r="R84" t="str">
            <v>PRESENTACION DE LA DEMANDA</v>
          </cell>
          <cell r="S84">
            <v>18556.8</v>
          </cell>
        </row>
        <row r="85">
          <cell r="E85" t="str">
            <v>107038101002145494</v>
          </cell>
          <cell r="F85" t="str">
            <v>TORRES TECCO, ALBERT ELEADES</v>
          </cell>
          <cell r="G85" t="str">
            <v xml:space="preserve">-  </v>
          </cell>
          <cell r="H85">
            <v>0</v>
          </cell>
          <cell r="I85" t="str">
            <v>-</v>
          </cell>
          <cell r="J85">
            <v>0</v>
          </cell>
          <cell r="K85" t="str">
            <v>NO</v>
          </cell>
          <cell r="L85">
            <v>0</v>
          </cell>
          <cell r="M85">
            <v>0</v>
          </cell>
          <cell r="N85" t="str">
            <v>02103-2023-0-1809-JP-CI-05</v>
          </cell>
          <cell r="O85" t="str">
            <v xml:space="preserve">5° JUZ PAZ LETRADO BARRANCO   </v>
          </cell>
          <cell r="P85" t="str">
            <v>2023.05.23</v>
          </cell>
          <cell r="Q85">
            <v>21072.94</v>
          </cell>
          <cell r="R85" t="str">
            <v>PRESENTACION DE LA DEMANDA</v>
          </cell>
          <cell r="S85">
            <v>10100</v>
          </cell>
        </row>
        <row r="86">
          <cell r="E86" t="str">
            <v>107038101002700665</v>
          </cell>
          <cell r="F86" t="str">
            <v>TOTAL TRADE TOPACIO S.A.C.</v>
          </cell>
          <cell r="G86" t="str">
            <v xml:space="preserve">-  </v>
          </cell>
          <cell r="H86">
            <v>0</v>
          </cell>
          <cell r="I86" t="str">
            <v>-</v>
          </cell>
          <cell r="J86">
            <v>0</v>
          </cell>
          <cell r="K86" t="str">
            <v>NO</v>
          </cell>
          <cell r="L86">
            <v>0</v>
          </cell>
          <cell r="M86">
            <v>0</v>
          </cell>
          <cell r="N86" t="str">
            <v>03245-2023-44-1809-JP-CI-05</v>
          </cell>
          <cell r="O86" t="str">
            <v xml:space="preserve">5° JUZ PAZ LETRADO BARRANCO   </v>
          </cell>
          <cell r="P86" t="str">
            <v>2023.07.25</v>
          </cell>
          <cell r="Q86">
            <v>23608.02</v>
          </cell>
          <cell r="R86" t="str">
            <v>PRESENTACION DE LA DEMANDA</v>
          </cell>
          <cell r="S86">
            <v>22018.639999999999</v>
          </cell>
        </row>
        <row r="87">
          <cell r="E87" t="str">
            <v>107038101002712327</v>
          </cell>
          <cell r="F87" t="str">
            <v>TOTAL TRADE TOPACIO S.A.C.</v>
          </cell>
          <cell r="G87" t="str">
            <v xml:space="preserve">-  </v>
          </cell>
          <cell r="H87">
            <v>0</v>
          </cell>
          <cell r="I87" t="str">
            <v>-</v>
          </cell>
          <cell r="J87">
            <v>0</v>
          </cell>
          <cell r="K87" t="str">
            <v>NO</v>
          </cell>
          <cell r="L87">
            <v>0</v>
          </cell>
          <cell r="M87">
            <v>0</v>
          </cell>
          <cell r="N87" t="str">
            <v>03892-2023-99-1809-JP-CI-03</v>
          </cell>
          <cell r="O87" t="str">
            <v xml:space="preserve">3° JPL BARRANCO-MIRAFLORES,   </v>
          </cell>
          <cell r="P87" t="str">
            <v>2023.08.22</v>
          </cell>
          <cell r="Q87">
            <v>19931.29</v>
          </cell>
          <cell r="R87" t="str">
            <v>PRESENTACION DE LA DEMANDA</v>
          </cell>
          <cell r="S87">
            <v>9279.4</v>
          </cell>
        </row>
        <row r="88">
          <cell r="E88" t="str">
            <v>107038101002206666</v>
          </cell>
          <cell r="F88" t="str">
            <v>UNION PACIFIC INTERNATIONAL S.A.C</v>
          </cell>
          <cell r="G88" t="str">
            <v xml:space="preserve">-  </v>
          </cell>
          <cell r="H88">
            <v>0</v>
          </cell>
          <cell r="I88" t="str">
            <v>-</v>
          </cell>
          <cell r="J88">
            <v>0</v>
          </cell>
          <cell r="K88" t="str">
            <v>NO</v>
          </cell>
          <cell r="L88">
            <v>0</v>
          </cell>
          <cell r="M88">
            <v>0</v>
          </cell>
          <cell r="N88" t="str">
            <v>11118-2024-15-1828-JR-CO-12</v>
          </cell>
          <cell r="O88" t="str">
            <v xml:space="preserve">12° JUZGADO COMERCIAL         </v>
          </cell>
          <cell r="P88" t="str">
            <v>2024.03.27</v>
          </cell>
          <cell r="Q88">
            <v>236578.28</v>
          </cell>
          <cell r="R88" t="str">
            <v>PRESENTACION DE LA DEMANDA</v>
          </cell>
          <cell r="S88">
            <v>147400.57</v>
          </cell>
        </row>
        <row r="89">
          <cell r="E89" t="str">
            <v>107038101002409451</v>
          </cell>
          <cell r="F89" t="str">
            <v>VEGA POSADA, HERNAN ALEJANDRO</v>
          </cell>
          <cell r="G89" t="str">
            <v xml:space="preserve">-  </v>
          </cell>
          <cell r="H89">
            <v>0</v>
          </cell>
          <cell r="I89" t="str">
            <v>-</v>
          </cell>
          <cell r="J89">
            <v>0</v>
          </cell>
          <cell r="K89" t="str">
            <v>NO</v>
          </cell>
          <cell r="L89">
            <v>0</v>
          </cell>
          <cell r="M89">
            <v>0</v>
          </cell>
          <cell r="N89" t="str">
            <v>09385-2025-0-1828-JR-CO-15</v>
          </cell>
          <cell r="O89" t="str">
            <v>15°JUZGADO CIVIL-COMERCIAL</v>
          </cell>
          <cell r="P89" t="str">
            <v>2025.04.29</v>
          </cell>
          <cell r="Q89">
            <v>122098.48</v>
          </cell>
          <cell r="R89" t="str">
            <v>PRESENTACION DE LA DEMANDA</v>
          </cell>
          <cell r="S89">
            <v>84667.3</v>
          </cell>
        </row>
        <row r="90">
          <cell r="E90" t="str">
            <v>107050101003809125</v>
          </cell>
          <cell r="F90" t="str">
            <v>PAREDES MEDINA, CESAR AUGUSTO</v>
          </cell>
          <cell r="G90" t="str">
            <v xml:space="preserve">-  </v>
          </cell>
          <cell r="H90">
            <v>0</v>
          </cell>
          <cell r="I90" t="str">
            <v>-</v>
          </cell>
          <cell r="J90">
            <v>0</v>
          </cell>
          <cell r="K90" t="str">
            <v>NO</v>
          </cell>
          <cell r="L90">
            <v>0</v>
          </cell>
          <cell r="M90">
            <v>0</v>
          </cell>
          <cell r="N90" t="str">
            <v>05292-2026-0-1828-JR-CO-16</v>
          </cell>
          <cell r="O90" t="str">
            <v>16° JUZGADO CIVIL - COMERCIAL</v>
          </cell>
          <cell r="P90" t="str">
            <v>2026.02.24</v>
          </cell>
          <cell r="Q90">
            <v>32464.81</v>
          </cell>
          <cell r="R90" t="str">
            <v>PRESENTACION DE LA DEMANDA</v>
          </cell>
          <cell r="S90">
            <v>20788.13</v>
          </cell>
        </row>
        <row r="91">
          <cell r="E91" t="str">
            <v>107050101003812321</v>
          </cell>
          <cell r="F91" t="str">
            <v>PAREDES MEDINA, CESAR AUGUSTO</v>
          </cell>
          <cell r="G91" t="str">
            <v xml:space="preserve">-  </v>
          </cell>
          <cell r="H91">
            <v>0</v>
          </cell>
          <cell r="I91" t="str">
            <v>-</v>
          </cell>
          <cell r="J91">
            <v>0</v>
          </cell>
          <cell r="K91" t="str">
            <v>NO</v>
          </cell>
          <cell r="L91">
            <v>0</v>
          </cell>
          <cell r="M91">
            <v>0</v>
          </cell>
          <cell r="N91" t="str">
            <v>05292-2026-0-1828-JR-CO-16</v>
          </cell>
          <cell r="O91" t="str">
            <v>16° JUZGADO CIVIL - COMERCIAL</v>
          </cell>
          <cell r="P91" t="str">
            <v>2026.02.24</v>
          </cell>
          <cell r="Q91">
            <v>32464.81</v>
          </cell>
          <cell r="R91" t="str">
            <v>PRESENTACION DE LA DEMANDA</v>
          </cell>
          <cell r="S91">
            <v>29482.58</v>
          </cell>
        </row>
        <row r="92">
          <cell r="E92" t="str">
            <v>107074101001854424</v>
          </cell>
          <cell r="F92" t="str">
            <v>ADRIANO LEDESMA, IVAN NOE</v>
          </cell>
          <cell r="G92" t="str">
            <v xml:space="preserve">-  </v>
          </cell>
          <cell r="H92">
            <v>0</v>
          </cell>
          <cell r="I92" t="str">
            <v>-</v>
          </cell>
          <cell r="J92">
            <v>0</v>
          </cell>
          <cell r="K92" t="str">
            <v>NO</v>
          </cell>
          <cell r="L92">
            <v>0</v>
          </cell>
          <cell r="M92">
            <v>0</v>
          </cell>
          <cell r="N92" t="str">
            <v>10808-2025-0-1828-JR-CO-12</v>
          </cell>
          <cell r="O92" t="str">
            <v xml:space="preserve">12° JUZGADO CIVIL-COMERCIAL   </v>
          </cell>
          <cell r="P92" t="str">
            <v>2025.05.20</v>
          </cell>
          <cell r="Q92">
            <v>24119.29</v>
          </cell>
          <cell r="R92" t="str">
            <v>PRESENTACION DE LA DEMANDA</v>
          </cell>
          <cell r="S92">
            <v>21951.75</v>
          </cell>
        </row>
        <row r="93">
          <cell r="E93" t="str">
            <v>107074101000996919</v>
          </cell>
          <cell r="F93" t="str">
            <v>AGUILAR TORRES, MARIA DEL CARMEN</v>
          </cell>
          <cell r="G93" t="str">
            <v>008</v>
          </cell>
          <cell r="H93">
            <v>12</v>
          </cell>
          <cell r="I93" t="str">
            <v>2026.07.24</v>
          </cell>
          <cell r="J93">
            <v>999.92</v>
          </cell>
          <cell r="K93" t="str">
            <v>SI</v>
          </cell>
          <cell r="L93">
            <v>0</v>
          </cell>
          <cell r="M93">
            <v>54897.919999999998</v>
          </cell>
          <cell r="N93" t="str">
            <v>01003-2024-64-1820-JP-CI-03</v>
          </cell>
          <cell r="O93" t="str">
            <v>3° JPL(SEDE LINCE- SAN ISIDRO)</v>
          </cell>
          <cell r="P93" t="str">
            <v>2024.05.29</v>
          </cell>
          <cell r="Q93">
            <v>49378.58</v>
          </cell>
          <cell r="R93" t="str">
            <v>PRESENTACION DE LA DEMANDA</v>
          </cell>
          <cell r="S93">
            <v>20623.560000000001</v>
          </cell>
        </row>
        <row r="94">
          <cell r="E94" t="str">
            <v>107074101001155369</v>
          </cell>
          <cell r="F94" t="str">
            <v>AISUR MANAGER S.A.C.</v>
          </cell>
          <cell r="G94" t="str">
            <v xml:space="preserve">-  </v>
          </cell>
          <cell r="H94">
            <v>0</v>
          </cell>
          <cell r="I94" t="str">
            <v>-</v>
          </cell>
          <cell r="J94">
            <v>0</v>
          </cell>
          <cell r="K94" t="str">
            <v>NO</v>
          </cell>
          <cell r="L94">
            <v>0</v>
          </cell>
          <cell r="M94">
            <v>0</v>
          </cell>
          <cell r="N94" t="str">
            <v>14695-2023-0-1817-JR-CO-14</v>
          </cell>
          <cell r="O94" t="str">
            <v xml:space="preserve">14 JUZGADO COMERCIAL LIMA     </v>
          </cell>
          <cell r="P94" t="str">
            <v>2023.07.17</v>
          </cell>
          <cell r="Q94">
            <v>216758.01</v>
          </cell>
          <cell r="R94" t="str">
            <v>PRESENTACION DE LA DEMANDA</v>
          </cell>
          <cell r="S94">
            <v>179136.19</v>
          </cell>
        </row>
        <row r="95">
          <cell r="E95" t="str">
            <v>107074101001156794</v>
          </cell>
          <cell r="F95" t="str">
            <v>ALANYA VELASQUEZ, ROGER GERMAN</v>
          </cell>
          <cell r="G95" t="str">
            <v>012</v>
          </cell>
          <cell r="H95">
            <v>12</v>
          </cell>
          <cell r="I95" t="str">
            <v>2025.03.30</v>
          </cell>
          <cell r="J95">
            <v>54896.28</v>
          </cell>
          <cell r="K95" t="str">
            <v>NO</v>
          </cell>
          <cell r="L95">
            <v>458</v>
          </cell>
          <cell r="M95">
            <v>55337.31</v>
          </cell>
          <cell r="N95" t="str">
            <v>21210-2023-0-1817-JR-CO-08</v>
          </cell>
          <cell r="O95" t="str">
            <v>8 JUZGADO CIVIL COMERCIAL LIMA</v>
          </cell>
          <cell r="P95" t="str">
            <v>2023.10.04</v>
          </cell>
          <cell r="Q95">
            <v>48021.53</v>
          </cell>
          <cell r="R95" t="str">
            <v>PRESENTACION DE LA DEMANDA</v>
          </cell>
          <cell r="S95">
            <v>36801.07</v>
          </cell>
        </row>
        <row r="96">
          <cell r="E96" t="str">
            <v>107074101001125669</v>
          </cell>
          <cell r="F96" t="str">
            <v>ALVAREZ DE LA O, PABLO ANTONIO JESUS</v>
          </cell>
          <cell r="G96" t="str">
            <v xml:space="preserve">-  </v>
          </cell>
          <cell r="H96">
            <v>0</v>
          </cell>
          <cell r="I96" t="str">
            <v>-</v>
          </cell>
          <cell r="J96">
            <v>0</v>
          </cell>
          <cell r="K96" t="str">
            <v>NO</v>
          </cell>
          <cell r="L96">
            <v>0</v>
          </cell>
          <cell r="M96">
            <v>0</v>
          </cell>
          <cell r="N96" t="str">
            <v>00858-2023-0-1814-JP-CO-03</v>
          </cell>
          <cell r="O96" t="str">
            <v>3° JUZGADO PAZ LETRADO LA VICT</v>
          </cell>
          <cell r="P96" t="str">
            <v>2023.10.18</v>
          </cell>
          <cell r="Q96">
            <v>13735.19</v>
          </cell>
          <cell r="R96" t="str">
            <v>PRESENTACION DE LA DEMANDA</v>
          </cell>
          <cell r="S96">
            <v>10949.49</v>
          </cell>
        </row>
        <row r="97">
          <cell r="E97" t="str">
            <v>107074101001999814</v>
          </cell>
          <cell r="F97" t="str">
            <v>AQUIJE VALLE, RIVELINO CESAR</v>
          </cell>
          <cell r="G97" t="str">
            <v xml:space="preserve">-  </v>
          </cell>
          <cell r="H97">
            <v>0</v>
          </cell>
          <cell r="I97" t="str">
            <v>-</v>
          </cell>
          <cell r="J97">
            <v>0</v>
          </cell>
          <cell r="K97" t="str">
            <v>NO</v>
          </cell>
          <cell r="L97">
            <v>0</v>
          </cell>
          <cell r="M97">
            <v>0</v>
          </cell>
          <cell r="N97" t="str">
            <v>00953-2025-67-3002-JP-CI-02</v>
          </cell>
          <cell r="O97" t="str">
            <v xml:space="preserve">JPL SAN JUAN DE MIRAFLORES    </v>
          </cell>
          <cell r="P97" t="str">
            <v>2025.12.05</v>
          </cell>
          <cell r="Q97">
            <v>26394.37</v>
          </cell>
          <cell r="R97" t="str">
            <v>PRESENTACION DE LA DEMANDA</v>
          </cell>
          <cell r="S97">
            <v>21279.82</v>
          </cell>
        </row>
        <row r="98">
          <cell r="E98" t="str">
            <v>107074101001064097</v>
          </cell>
          <cell r="F98" t="str">
            <v>ARCE COLLANTES, SANDRA KATERINE</v>
          </cell>
          <cell r="G98" t="str">
            <v xml:space="preserve">-  </v>
          </cell>
          <cell r="H98">
            <v>0</v>
          </cell>
          <cell r="I98" t="str">
            <v>-</v>
          </cell>
          <cell r="J98">
            <v>0</v>
          </cell>
          <cell r="K98" t="str">
            <v>NO</v>
          </cell>
          <cell r="L98">
            <v>0</v>
          </cell>
          <cell r="M98">
            <v>0</v>
          </cell>
          <cell r="N98" t="str">
            <v>00273-2023-59-1824-JP-CI-02</v>
          </cell>
          <cell r="O98" t="str">
            <v>2° JUZGADO PAZ LETRADO SAN MIG</v>
          </cell>
          <cell r="P98" t="str">
            <v>2023.05.22</v>
          </cell>
          <cell r="Q98">
            <v>23000</v>
          </cell>
          <cell r="R98" t="str">
            <v>PRESENTACION DE LA DEMANDA</v>
          </cell>
          <cell r="S98">
            <v>2014.25</v>
          </cell>
        </row>
        <row r="99">
          <cell r="E99" t="str">
            <v>107074101001792209</v>
          </cell>
          <cell r="F99" t="str">
            <v>ASTORAYME ASCONA, MARILYN</v>
          </cell>
          <cell r="G99" t="str">
            <v>007</v>
          </cell>
          <cell r="H99">
            <v>12</v>
          </cell>
          <cell r="I99" t="str">
            <v>2026.07.19</v>
          </cell>
          <cell r="J99">
            <v>685.15</v>
          </cell>
          <cell r="K99" t="str">
            <v>SI</v>
          </cell>
          <cell r="L99">
            <v>0</v>
          </cell>
          <cell r="M99">
            <v>12280.69</v>
          </cell>
          <cell r="N99" t="str">
            <v>00668-2024-22-1820-JP-CI-03</v>
          </cell>
          <cell r="O99" t="str">
            <v>3° JPL(SEDE LINCE- SAN ISIDRO)</v>
          </cell>
          <cell r="P99" t="str">
            <v>2024.04.12</v>
          </cell>
          <cell r="Q99">
            <v>13812.91</v>
          </cell>
          <cell r="R99" t="str">
            <v>PRESENTACION DE LA DEMANDA</v>
          </cell>
          <cell r="S99">
            <v>0</v>
          </cell>
        </row>
        <row r="100">
          <cell r="E100" t="str">
            <v>107074101002161246</v>
          </cell>
          <cell r="F100" t="str">
            <v>AUTOMIKS TALLER AUTOMOTRIZ E.I.R.L.</v>
          </cell>
          <cell r="G100" t="str">
            <v xml:space="preserve">-  </v>
          </cell>
          <cell r="H100">
            <v>0</v>
          </cell>
          <cell r="I100" t="str">
            <v>-</v>
          </cell>
          <cell r="J100">
            <v>0</v>
          </cell>
          <cell r="K100" t="str">
            <v>NO</v>
          </cell>
          <cell r="L100">
            <v>0</v>
          </cell>
          <cell r="M100">
            <v>0</v>
          </cell>
          <cell r="N100" t="str">
            <v>03888-2025-12-1866-JP-CI-03</v>
          </cell>
          <cell r="O100" t="str">
            <v>3° JPL (SEDE BARRANCO-MIRAFLOR</v>
          </cell>
          <cell r="P100" t="str">
            <v>2025.09.01</v>
          </cell>
          <cell r="Q100">
            <v>19411.84</v>
          </cell>
          <cell r="R100" t="str">
            <v>PRESENTACION DE LA DEMANDA</v>
          </cell>
          <cell r="S100">
            <v>17260.330000000002</v>
          </cell>
        </row>
        <row r="101">
          <cell r="E101" t="str">
            <v>107074101002074685</v>
          </cell>
          <cell r="F101" t="str">
            <v>CASTRO RAMIREZ, LUCIA TEODORA</v>
          </cell>
          <cell r="G101" t="str">
            <v xml:space="preserve">-  </v>
          </cell>
          <cell r="H101">
            <v>0</v>
          </cell>
          <cell r="I101" t="str">
            <v>-</v>
          </cell>
          <cell r="J101">
            <v>0</v>
          </cell>
          <cell r="K101" t="str">
            <v>NO</v>
          </cell>
          <cell r="L101">
            <v>0</v>
          </cell>
          <cell r="M101">
            <v>0</v>
          </cell>
          <cell r="N101" t="str">
            <v>00705-2026-99-1866-JP-CI-03</v>
          </cell>
          <cell r="O101" t="str">
            <v>3° JPL (SEDE BARRANCO-MIRAFLOR</v>
          </cell>
          <cell r="P101" t="str">
            <v>2026.02.06</v>
          </cell>
          <cell r="Q101">
            <v>40432.04</v>
          </cell>
          <cell r="R101" t="str">
            <v>PRESENTACION DE LA DEMANDA</v>
          </cell>
          <cell r="S101">
            <v>36415.370000000003</v>
          </cell>
        </row>
        <row r="102">
          <cell r="E102" t="str">
            <v>107074101002209536</v>
          </cell>
          <cell r="F102" t="str">
            <v>CHAVEZ HUAMAN, ELLIOT JEFFREY</v>
          </cell>
          <cell r="G102" t="str">
            <v xml:space="preserve">-  </v>
          </cell>
          <cell r="H102">
            <v>0</v>
          </cell>
          <cell r="I102" t="str">
            <v>-</v>
          </cell>
          <cell r="J102">
            <v>0</v>
          </cell>
          <cell r="K102" t="str">
            <v>NO</v>
          </cell>
          <cell r="L102">
            <v>0</v>
          </cell>
          <cell r="M102">
            <v>0</v>
          </cell>
          <cell r="N102" t="str">
            <v>00004-2026-74-3002-JP-CI-02</v>
          </cell>
          <cell r="O102" t="str">
            <v>JUZGADO DE PAZ LETRADO - CIVIL</v>
          </cell>
          <cell r="P102" t="str">
            <v>2026.01.06</v>
          </cell>
          <cell r="Q102">
            <v>20942.98</v>
          </cell>
          <cell r="R102" t="str">
            <v>PRESENTACION DE LA DEMANDA</v>
          </cell>
          <cell r="S102">
            <v>18616.21</v>
          </cell>
        </row>
        <row r="103">
          <cell r="E103" t="str">
            <v>107074101001393345</v>
          </cell>
          <cell r="F103" t="str">
            <v>CHUMBE ALEGRE, PIER ANNETTA</v>
          </cell>
          <cell r="G103" t="str">
            <v>002</v>
          </cell>
          <cell r="H103">
            <v>12</v>
          </cell>
          <cell r="I103" t="str">
            <v>2026.07.22</v>
          </cell>
          <cell r="J103">
            <v>1155.28</v>
          </cell>
          <cell r="K103" t="str">
            <v>SI</v>
          </cell>
          <cell r="L103">
            <v>0</v>
          </cell>
          <cell r="M103">
            <v>18459.169999999998</v>
          </cell>
          <cell r="N103" t="str">
            <v>09428-2025-0-1828-JR-CO-01</v>
          </cell>
          <cell r="O103" t="str">
            <v xml:space="preserve">1° JUZGADO CIVIL-COMERCIAL    </v>
          </cell>
          <cell r="P103" t="str">
            <v>2025.04.29</v>
          </cell>
          <cell r="Q103">
            <v>52043.72</v>
          </cell>
          <cell r="R103" t="str">
            <v>PRESENTACION DE LA DEMANDA</v>
          </cell>
          <cell r="S103">
            <v>8644</v>
          </cell>
        </row>
        <row r="104">
          <cell r="E104" t="str">
            <v>107074101001608015</v>
          </cell>
          <cell r="F104" t="str">
            <v>CONDEZO LEON, ROSA</v>
          </cell>
          <cell r="G104" t="str">
            <v>012</v>
          </cell>
          <cell r="H104">
            <v>12</v>
          </cell>
          <cell r="I104" t="str">
            <v>2026.07.11</v>
          </cell>
          <cell r="J104">
            <v>35352.129999999997</v>
          </cell>
          <cell r="K104" t="str">
            <v>SI</v>
          </cell>
          <cell r="L104">
            <v>0</v>
          </cell>
          <cell r="M104">
            <v>54752.39</v>
          </cell>
          <cell r="N104" t="str">
            <v>09778-2025-0-1828-JR-CO-17</v>
          </cell>
          <cell r="O104" t="str">
            <v xml:space="preserve">17° JUZGADO CIVIL-COMERCIAL   </v>
          </cell>
          <cell r="P104" t="str">
            <v>2025.05.05</v>
          </cell>
          <cell r="Q104">
            <v>51950.080000000002</v>
          </cell>
          <cell r="R104" t="str">
            <v>PRESENTACION DE LA DEMANDA</v>
          </cell>
          <cell r="S104">
            <v>29248.14</v>
          </cell>
        </row>
        <row r="105">
          <cell r="E105" t="str">
            <v>107074101000710276</v>
          </cell>
          <cell r="F105" t="str">
            <v>CORPORACION FARMACOLOGICA JJ SALUD SAC</v>
          </cell>
          <cell r="G105" t="str">
            <v xml:space="preserve">-  </v>
          </cell>
          <cell r="H105">
            <v>0</v>
          </cell>
          <cell r="I105" t="str">
            <v>-</v>
          </cell>
          <cell r="J105">
            <v>0</v>
          </cell>
          <cell r="K105" t="str">
            <v>NO</v>
          </cell>
          <cell r="L105">
            <v>0</v>
          </cell>
          <cell r="M105">
            <v>0</v>
          </cell>
          <cell r="N105" t="str">
            <v>23529-2023-0-1817-JR-CO-09</v>
          </cell>
          <cell r="O105" t="str">
            <v xml:space="preserve">9° JC - COMERCIAL             </v>
          </cell>
          <cell r="P105" t="str">
            <v>2023.10.23</v>
          </cell>
          <cell r="Q105">
            <v>338156.75</v>
          </cell>
          <cell r="R105" t="str">
            <v>PRESENTACION DE LA DEMANDA</v>
          </cell>
          <cell r="S105">
            <v>309260.58</v>
          </cell>
        </row>
        <row r="106">
          <cell r="E106" t="str">
            <v>107074101001149687</v>
          </cell>
          <cell r="F106" t="str">
            <v>CORPORACION SANCHEZ H S.A.C.</v>
          </cell>
          <cell r="G106" t="str">
            <v>011</v>
          </cell>
          <cell r="H106">
            <v>11</v>
          </cell>
          <cell r="I106" t="str">
            <v>2025.04.11</v>
          </cell>
          <cell r="J106">
            <v>3178.1</v>
          </cell>
          <cell r="K106" t="str">
            <v>NO</v>
          </cell>
          <cell r="L106">
            <v>446</v>
          </cell>
          <cell r="M106">
            <v>11674.88</v>
          </cell>
          <cell r="N106" t="str">
            <v>04403-2023-1-0901-JR-CI-04</v>
          </cell>
          <cell r="O106" t="str">
            <v xml:space="preserve">4° JC - SEDE CENTRAL          </v>
          </cell>
          <cell r="P106" t="str">
            <v>2023.11.27</v>
          </cell>
          <cell r="Q106">
            <v>84164.49</v>
          </cell>
          <cell r="R106" t="str">
            <v>PRESENTACION DE LA DEMANDA</v>
          </cell>
          <cell r="S106">
            <v>47934.25</v>
          </cell>
        </row>
        <row r="107">
          <cell r="E107" t="str">
            <v>107074101001152621</v>
          </cell>
          <cell r="F107" t="str">
            <v>CORPORACION TOLENTINI T &amp; J S.A.</v>
          </cell>
          <cell r="G107" t="str">
            <v xml:space="preserve">-  </v>
          </cell>
          <cell r="H107">
            <v>0</v>
          </cell>
          <cell r="I107" t="str">
            <v>-</v>
          </cell>
          <cell r="J107">
            <v>0</v>
          </cell>
          <cell r="K107" t="str">
            <v>NO</v>
          </cell>
          <cell r="L107">
            <v>0</v>
          </cell>
          <cell r="M107">
            <v>0</v>
          </cell>
          <cell r="N107" t="str">
            <v>00323-2024-0-3207-JR-CI-03</v>
          </cell>
          <cell r="O107" t="str">
            <v xml:space="preserve">3 ° JUZGADO CIVIL             </v>
          </cell>
          <cell r="P107" t="str">
            <v>2024.01.24</v>
          </cell>
          <cell r="Q107">
            <v>86146.34</v>
          </cell>
          <cell r="R107" t="str">
            <v>PRESENTACION DE LA DEMANDA</v>
          </cell>
          <cell r="S107">
            <v>37703.599999999999</v>
          </cell>
        </row>
        <row r="108">
          <cell r="E108" t="str">
            <v>107074101001122597</v>
          </cell>
          <cell r="F108" t="str">
            <v>CREACIONES A. YKEDA S.A.C</v>
          </cell>
          <cell r="G108" t="str">
            <v xml:space="preserve">-  </v>
          </cell>
          <cell r="H108">
            <v>0</v>
          </cell>
          <cell r="I108" t="str">
            <v>-</v>
          </cell>
          <cell r="J108">
            <v>0</v>
          </cell>
          <cell r="K108" t="str">
            <v>NO</v>
          </cell>
          <cell r="L108">
            <v>0</v>
          </cell>
          <cell r="M108">
            <v>0</v>
          </cell>
          <cell r="N108" t="str">
            <v>19814-2023-19-1817-JR-CO-02</v>
          </cell>
          <cell r="O108" t="str">
            <v xml:space="preserve">2°JUZGADO CIVIL-COMERCIAL     </v>
          </cell>
          <cell r="P108" t="str">
            <v>2023.09.20</v>
          </cell>
          <cell r="Q108">
            <v>50324.61</v>
          </cell>
          <cell r="R108" t="str">
            <v>PRESENTACION DE LA DEMANDA</v>
          </cell>
          <cell r="S108">
            <v>23804.34</v>
          </cell>
        </row>
        <row r="109">
          <cell r="E109" t="str">
            <v>107074101001595014</v>
          </cell>
          <cell r="F109" t="str">
            <v>CRUZ PEÑA, BETTY</v>
          </cell>
          <cell r="G109" t="str">
            <v xml:space="preserve">-  </v>
          </cell>
          <cell r="H109">
            <v>0</v>
          </cell>
          <cell r="I109" t="str">
            <v>-</v>
          </cell>
          <cell r="J109">
            <v>0</v>
          </cell>
          <cell r="K109" t="str">
            <v>NO</v>
          </cell>
          <cell r="L109">
            <v>0</v>
          </cell>
          <cell r="M109">
            <v>0</v>
          </cell>
          <cell r="N109" t="str">
            <v>03375-2023-1-0907-JP-CI-10</v>
          </cell>
          <cell r="O109" t="str">
            <v xml:space="preserve">10 JPL SAN MARTIN DE PORRES   </v>
          </cell>
          <cell r="P109" t="str">
            <v>2023.08.08</v>
          </cell>
          <cell r="Q109">
            <v>26961.48</v>
          </cell>
          <cell r="R109" t="str">
            <v>PRESENTACION DE LA DEMANDA</v>
          </cell>
          <cell r="S109">
            <v>25097.91</v>
          </cell>
        </row>
        <row r="110">
          <cell r="E110" t="str">
            <v>107074101001510031</v>
          </cell>
          <cell r="F110" t="str">
            <v>DELGADO CARRERA, GIANCARLO RENZO</v>
          </cell>
          <cell r="G110" t="str">
            <v>007</v>
          </cell>
          <cell r="H110">
            <v>10</v>
          </cell>
          <cell r="I110" t="str">
            <v>2026.07.02</v>
          </cell>
          <cell r="J110">
            <v>950</v>
          </cell>
          <cell r="K110" t="str">
            <v>SI</v>
          </cell>
          <cell r="L110">
            <v>0</v>
          </cell>
          <cell r="M110">
            <v>15733.64</v>
          </cell>
          <cell r="N110" t="str">
            <v>00693-2023-62-3002-JP-CI-02</v>
          </cell>
          <cell r="O110" t="str">
            <v xml:space="preserve">JPL CIVIL (EX 2° JPL CIVIL)   </v>
          </cell>
          <cell r="P110" t="str">
            <v>2023.08.08</v>
          </cell>
          <cell r="Q110">
            <v>32734.39</v>
          </cell>
          <cell r="R110" t="str">
            <v>PRESENTACION DE LA DEMANDA</v>
          </cell>
          <cell r="S110">
            <v>0</v>
          </cell>
        </row>
        <row r="111">
          <cell r="E111" t="str">
            <v>107074101001983841</v>
          </cell>
          <cell r="F111" t="str">
            <v>EGUSQUIZA MEDINA, SARA NOEMI</v>
          </cell>
          <cell r="G111" t="str">
            <v>004</v>
          </cell>
          <cell r="H111">
            <v>12</v>
          </cell>
          <cell r="I111" t="str">
            <v>2026.07.20</v>
          </cell>
          <cell r="J111">
            <v>706</v>
          </cell>
          <cell r="K111" t="str">
            <v>SI</v>
          </cell>
          <cell r="L111">
            <v>0</v>
          </cell>
          <cell r="M111">
            <v>12881.06</v>
          </cell>
          <cell r="N111" t="str">
            <v>05740-2024-37-1866-JP-CI-02</v>
          </cell>
          <cell r="O111" t="str">
            <v>2° JPL (SEDE BARRANCO - MIRAFL</v>
          </cell>
          <cell r="P111" t="str">
            <v>2024.12.26</v>
          </cell>
          <cell r="Q111">
            <v>19729.5</v>
          </cell>
          <cell r="R111" t="str">
            <v>PRESENTACION DE LA DEMANDA</v>
          </cell>
          <cell r="S111">
            <v>3652.8</v>
          </cell>
        </row>
        <row r="112">
          <cell r="E112" t="str">
            <v>107074101001086221</v>
          </cell>
          <cell r="F112" t="str">
            <v>ESCOBAR VASQUEZ, ORLANDO</v>
          </cell>
          <cell r="G112" t="str">
            <v xml:space="preserve">-  </v>
          </cell>
          <cell r="H112">
            <v>0</v>
          </cell>
          <cell r="I112" t="str">
            <v>-</v>
          </cell>
          <cell r="J112">
            <v>0</v>
          </cell>
          <cell r="K112" t="str">
            <v>NO</v>
          </cell>
          <cell r="L112">
            <v>0</v>
          </cell>
          <cell r="M112">
            <v>0</v>
          </cell>
          <cell r="N112" t="str">
            <v>00447-2021-0-1825-JP-CI-02</v>
          </cell>
          <cell r="O112" t="str">
            <v xml:space="preserve">2° JPL SURQUILLO              </v>
          </cell>
          <cell r="P112" t="str">
            <v>2021.09.24</v>
          </cell>
          <cell r="Q112">
            <v>12631.52</v>
          </cell>
          <cell r="R112" t="str">
            <v>SENTENCIADO</v>
          </cell>
          <cell r="S112">
            <v>10443.379999999999</v>
          </cell>
        </row>
        <row r="113">
          <cell r="E113" t="str">
            <v>107074101001378126</v>
          </cell>
          <cell r="F113" t="str">
            <v>ESPINOZA MARCOS, PAOLA WENDY</v>
          </cell>
          <cell r="G113" t="str">
            <v xml:space="preserve">-  </v>
          </cell>
          <cell r="H113">
            <v>0</v>
          </cell>
          <cell r="I113" t="str">
            <v>-</v>
          </cell>
          <cell r="J113">
            <v>0</v>
          </cell>
          <cell r="K113" t="str">
            <v>NO</v>
          </cell>
          <cell r="L113">
            <v>0</v>
          </cell>
          <cell r="M113">
            <v>0</v>
          </cell>
          <cell r="N113" t="str">
            <v>20297-2023-0-1817-JR-CO-13</v>
          </cell>
          <cell r="O113" t="str">
            <v xml:space="preserve">13°JUZGADO CIVIL-COMERCIAL    </v>
          </cell>
          <cell r="P113" t="str">
            <v>2023.09.25</v>
          </cell>
          <cell r="Q113">
            <v>33876.26</v>
          </cell>
          <cell r="R113" t="str">
            <v>PRESENTACION DE LA DEMANDA</v>
          </cell>
          <cell r="S113">
            <v>6156.57</v>
          </cell>
        </row>
        <row r="114">
          <cell r="E114" t="str">
            <v>107074101001379092</v>
          </cell>
          <cell r="F114" t="str">
            <v>EVENTOS OCAÑA S.A.C.</v>
          </cell>
          <cell r="G114" t="str">
            <v xml:space="preserve">-  </v>
          </cell>
          <cell r="H114">
            <v>0</v>
          </cell>
          <cell r="I114" t="str">
            <v>-</v>
          </cell>
          <cell r="J114">
            <v>0</v>
          </cell>
          <cell r="K114" t="str">
            <v>NO</v>
          </cell>
          <cell r="L114">
            <v>0</v>
          </cell>
          <cell r="M114">
            <v>0</v>
          </cell>
          <cell r="N114" t="str">
            <v>01214-2025-0-1820-JP-CI-03</v>
          </cell>
          <cell r="O114" t="str">
            <v>3° JPL(SEDE LINCE- SAN ISIDRO)</v>
          </cell>
          <cell r="P114" t="str">
            <v>2025.07.31</v>
          </cell>
          <cell r="Q114">
            <v>34393.03</v>
          </cell>
          <cell r="R114" t="str">
            <v>PRESENTACION DE LA DEMANDA</v>
          </cell>
          <cell r="S114">
            <v>30817.19</v>
          </cell>
        </row>
        <row r="115">
          <cell r="E115" t="str">
            <v>107074101001153232</v>
          </cell>
          <cell r="F115" t="str">
            <v>FORTEXS PERU E.I.R.L.</v>
          </cell>
          <cell r="G115" t="str">
            <v xml:space="preserve">-  </v>
          </cell>
          <cell r="H115">
            <v>0</v>
          </cell>
          <cell r="I115" t="str">
            <v>-</v>
          </cell>
          <cell r="J115">
            <v>0</v>
          </cell>
          <cell r="K115" t="str">
            <v>NO</v>
          </cell>
          <cell r="L115">
            <v>0</v>
          </cell>
          <cell r="M115">
            <v>0</v>
          </cell>
          <cell r="N115" t="str">
            <v>02121-2023-0-3204-JR-CI-02</v>
          </cell>
          <cell r="O115" t="str">
            <v xml:space="preserve">2 JUZGADO CIVIL LIMA ESTE     </v>
          </cell>
          <cell r="P115" t="str">
            <v>2023.05.23</v>
          </cell>
          <cell r="Q115">
            <v>322565.38</v>
          </cell>
          <cell r="R115" t="str">
            <v>PRESENTACION DE LA DEMANDA</v>
          </cell>
          <cell r="S115">
            <v>194654.64</v>
          </cell>
        </row>
        <row r="116">
          <cell r="E116" t="str">
            <v>107074101001973375</v>
          </cell>
          <cell r="F116" t="str">
            <v>GUERRA DE LA CRUZ, MERCEDES</v>
          </cell>
          <cell r="G116" t="str">
            <v>008</v>
          </cell>
          <cell r="H116">
            <v>12</v>
          </cell>
          <cell r="I116" t="str">
            <v>2026.07.25</v>
          </cell>
          <cell r="J116">
            <v>1499.6</v>
          </cell>
          <cell r="K116" t="str">
            <v>SI</v>
          </cell>
          <cell r="L116">
            <v>0</v>
          </cell>
          <cell r="M116">
            <v>124774.93</v>
          </cell>
          <cell r="N116" t="str">
            <v>22664-2024-15-1828-JR-CO-14</v>
          </cell>
          <cell r="O116" t="str">
            <v xml:space="preserve">14°JUZGADO CIVIL-COMERCIAL    </v>
          </cell>
          <cell r="P116" t="str">
            <v>2024.07.22</v>
          </cell>
          <cell r="Q116">
            <v>129505.96</v>
          </cell>
          <cell r="R116" t="str">
            <v>PRESENTACION DE LA DEMANDA</v>
          </cell>
          <cell r="S116">
            <v>75158.48</v>
          </cell>
        </row>
        <row r="117">
          <cell r="E117" t="str">
            <v>107024101005840214</v>
          </cell>
          <cell r="F117" t="str">
            <v>HUARHUA VELA, FLOR DE MARIA</v>
          </cell>
          <cell r="G117" t="str">
            <v>002</v>
          </cell>
          <cell r="H117">
            <v>12</v>
          </cell>
          <cell r="I117" t="str">
            <v>2026.07.13</v>
          </cell>
          <cell r="J117">
            <v>500</v>
          </cell>
          <cell r="K117" t="str">
            <v>SI</v>
          </cell>
          <cell r="L117">
            <v>0</v>
          </cell>
          <cell r="M117">
            <v>22858.59</v>
          </cell>
          <cell r="N117" t="str">
            <v>02459-2024-0-1820-JP-CI-02</v>
          </cell>
          <cell r="O117" t="str">
            <v>2° JPL( SEDE LINCE- SAN ISIDRO</v>
          </cell>
          <cell r="P117" t="str">
            <v>2024.12.27</v>
          </cell>
          <cell r="Q117">
            <v>21009.32</v>
          </cell>
          <cell r="R117" t="str">
            <v>PRESENTACION DE LA DEMANDA</v>
          </cell>
          <cell r="S117">
            <v>13440.25</v>
          </cell>
        </row>
        <row r="118">
          <cell r="E118" t="str">
            <v>107074101001382410</v>
          </cell>
          <cell r="F118" t="str">
            <v>INVERSIONES EL PIZZERO S.A.C.</v>
          </cell>
          <cell r="G118" t="str">
            <v xml:space="preserve">-  </v>
          </cell>
          <cell r="H118">
            <v>0</v>
          </cell>
          <cell r="I118" t="str">
            <v>-</v>
          </cell>
          <cell r="J118">
            <v>0</v>
          </cell>
          <cell r="K118" t="str">
            <v>NO</v>
          </cell>
          <cell r="L118">
            <v>0</v>
          </cell>
          <cell r="M118">
            <v>0</v>
          </cell>
          <cell r="N118" t="str">
            <v>03342-2025-0-1828-JR-CO-13</v>
          </cell>
          <cell r="O118" t="str">
            <v xml:space="preserve">13 JUZGADO COMERCIAL          </v>
          </cell>
          <cell r="P118" t="str">
            <v>2025.02.12</v>
          </cell>
          <cell r="Q118">
            <v>85310.49</v>
          </cell>
          <cell r="R118" t="str">
            <v>PRESENTACION DE LA DEMANDA</v>
          </cell>
          <cell r="S118">
            <v>58430.6</v>
          </cell>
        </row>
        <row r="119">
          <cell r="E119" t="str">
            <v>107074101002106407</v>
          </cell>
          <cell r="F119" t="str">
            <v>LAZO QUISPE, HECTOR</v>
          </cell>
          <cell r="G119" t="str">
            <v>009</v>
          </cell>
          <cell r="H119">
            <v>12</v>
          </cell>
          <cell r="I119" t="str">
            <v>2026.07.25</v>
          </cell>
          <cell r="J119">
            <v>999.91</v>
          </cell>
          <cell r="K119" t="str">
            <v>SI</v>
          </cell>
          <cell r="L119">
            <v>0</v>
          </cell>
          <cell r="M119">
            <v>26210.5</v>
          </cell>
          <cell r="N119" t="str">
            <v>00000-2025-0-1820-JP-CI-03</v>
          </cell>
          <cell r="O119" t="str">
            <v>3° JPL(SEDE LINCE- SAN ISIDRO)</v>
          </cell>
          <cell r="P119" t="str">
            <v>2025.09.25</v>
          </cell>
          <cell r="Q119">
            <v>25003.67</v>
          </cell>
          <cell r="R119" t="str">
            <v>PRESENTACION DE LA DEMANDA</v>
          </cell>
          <cell r="S119">
            <v>11528.58</v>
          </cell>
        </row>
        <row r="120">
          <cell r="E120" t="str">
            <v>107074101001392047</v>
          </cell>
          <cell r="F120" t="str">
            <v>LAZON SIGÜEÑAS, ANDY PAUL</v>
          </cell>
          <cell r="G120" t="str">
            <v xml:space="preserve">-  </v>
          </cell>
          <cell r="H120">
            <v>0</v>
          </cell>
          <cell r="I120" t="str">
            <v>-</v>
          </cell>
          <cell r="J120">
            <v>0</v>
          </cell>
          <cell r="K120" t="str">
            <v>NO</v>
          </cell>
          <cell r="L120">
            <v>0</v>
          </cell>
          <cell r="M120">
            <v>0</v>
          </cell>
          <cell r="N120" t="str">
            <v>15813-2024-0-1828-JR-CO-12</v>
          </cell>
          <cell r="O120" t="str">
            <v xml:space="preserve">12° JUZGADO CIVIL-COMERCIAL   </v>
          </cell>
          <cell r="P120" t="str">
            <v>2024.05.10</v>
          </cell>
          <cell r="Q120">
            <v>41749.629999999997</v>
          </cell>
          <cell r="R120" t="str">
            <v>PRESENTACION DE LA DEMANDA</v>
          </cell>
          <cell r="S120">
            <v>39071.89</v>
          </cell>
        </row>
        <row r="121">
          <cell r="E121" t="str">
            <v>107074101001153636</v>
          </cell>
          <cell r="F121" t="str">
            <v>LIGMAC S.A.C.</v>
          </cell>
          <cell r="G121" t="str">
            <v xml:space="preserve">-  </v>
          </cell>
          <cell r="H121">
            <v>0</v>
          </cell>
          <cell r="I121" t="str">
            <v>-</v>
          </cell>
          <cell r="J121">
            <v>0</v>
          </cell>
          <cell r="K121" t="str">
            <v>NO</v>
          </cell>
          <cell r="L121">
            <v>0</v>
          </cell>
          <cell r="M121">
            <v>0</v>
          </cell>
          <cell r="N121" t="str">
            <v>02293-2024-0-1820-JP-CI-02</v>
          </cell>
          <cell r="O121" t="str">
            <v>2° JPL( SEDE LINCE- SAN ISIDRO</v>
          </cell>
          <cell r="P121" t="str">
            <v>2024.11.28</v>
          </cell>
          <cell r="Q121">
            <v>37503.129999999997</v>
          </cell>
          <cell r="R121" t="str">
            <v>PRESENTACION DE LA DEMANDA</v>
          </cell>
          <cell r="S121">
            <v>29188.16</v>
          </cell>
        </row>
        <row r="122">
          <cell r="E122" t="str">
            <v>107074101001169851</v>
          </cell>
          <cell r="F122" t="str">
            <v>METALS CAREN S.A.C.</v>
          </cell>
          <cell r="G122" t="str">
            <v xml:space="preserve">-  </v>
          </cell>
          <cell r="H122">
            <v>0</v>
          </cell>
          <cell r="I122" t="str">
            <v>-</v>
          </cell>
          <cell r="J122">
            <v>0</v>
          </cell>
          <cell r="K122" t="str">
            <v>NO</v>
          </cell>
          <cell r="L122">
            <v>0</v>
          </cell>
          <cell r="M122">
            <v>0</v>
          </cell>
          <cell r="N122" t="str">
            <v>02516-2025-0-1828-JR-CO-01</v>
          </cell>
          <cell r="O122" t="str">
            <v xml:space="preserve">1° JUZGADO CIVIL-COMERCIAL    </v>
          </cell>
          <cell r="P122" t="str">
            <v>2025.01.31</v>
          </cell>
          <cell r="Q122">
            <v>58600.57</v>
          </cell>
          <cell r="R122" t="str">
            <v>PRESENTACION DE LA DEMANDA</v>
          </cell>
          <cell r="S122">
            <v>24767.52</v>
          </cell>
        </row>
        <row r="123">
          <cell r="E123" t="str">
            <v>107074101001366379</v>
          </cell>
          <cell r="F123" t="str">
            <v>MONTEZA SAAVEDRA, VICTOR AUGUSTO</v>
          </cell>
          <cell r="G123" t="str">
            <v xml:space="preserve">-  </v>
          </cell>
          <cell r="H123">
            <v>0</v>
          </cell>
          <cell r="I123" t="str">
            <v>-</v>
          </cell>
          <cell r="J123">
            <v>0</v>
          </cell>
          <cell r="K123" t="str">
            <v>NO</v>
          </cell>
          <cell r="L123">
            <v>0</v>
          </cell>
          <cell r="M123">
            <v>0</v>
          </cell>
          <cell r="N123" t="str">
            <v>03340-2025-0-1828-JR-CO-17</v>
          </cell>
          <cell r="O123" t="str">
            <v xml:space="preserve">17° JUZGADO CIVIL-COMERCIAL   </v>
          </cell>
          <cell r="P123" t="str">
            <v>2025.02.12</v>
          </cell>
          <cell r="Q123">
            <v>172751.14</v>
          </cell>
          <cell r="R123" t="str">
            <v>PRESENTACION DE LA DEMANDA</v>
          </cell>
          <cell r="S123">
            <v>120000</v>
          </cell>
        </row>
        <row r="124">
          <cell r="E124" t="str">
            <v>107074101001153434</v>
          </cell>
          <cell r="F124" t="str">
            <v>MOTOS DIVALKA SOCIEDAD ANONIMA CERRADA</v>
          </cell>
          <cell r="G124" t="str">
            <v xml:space="preserve">-  </v>
          </cell>
          <cell r="H124">
            <v>0</v>
          </cell>
          <cell r="I124" t="str">
            <v>-</v>
          </cell>
          <cell r="J124">
            <v>0</v>
          </cell>
          <cell r="K124" t="str">
            <v>NO</v>
          </cell>
          <cell r="L124">
            <v>0</v>
          </cell>
          <cell r="M124">
            <v>0</v>
          </cell>
          <cell r="N124" t="str">
            <v>00769-2023-0-3002-JR-CI-01</v>
          </cell>
          <cell r="O124" t="str">
            <v xml:space="preserve">JUZ. ESPECIALIZADO CIVIL      </v>
          </cell>
          <cell r="P124" t="str">
            <v>2023.11.17</v>
          </cell>
          <cell r="Q124">
            <v>138333.54</v>
          </cell>
          <cell r="R124" t="str">
            <v>PRESENTACION DE LA DEMANDA</v>
          </cell>
          <cell r="S124">
            <v>119112.55</v>
          </cell>
        </row>
        <row r="125">
          <cell r="E125" t="str">
            <v>107074101002247750</v>
          </cell>
          <cell r="F125" t="str">
            <v>MR. SWING EMPRESA DE SERVICIOS PRODUCCIONES Y PROMOTORA DE ESPECTACULOS E.I.R.L.</v>
          </cell>
          <cell r="G125" t="str">
            <v xml:space="preserve">-  </v>
          </cell>
          <cell r="H125">
            <v>0</v>
          </cell>
          <cell r="I125" t="str">
            <v>-</v>
          </cell>
          <cell r="J125">
            <v>0</v>
          </cell>
          <cell r="K125" t="str">
            <v>NO</v>
          </cell>
          <cell r="L125">
            <v>0</v>
          </cell>
          <cell r="M125">
            <v>0</v>
          </cell>
          <cell r="N125" t="str">
            <v>17790-2026-86-1828-JR-CO-12</v>
          </cell>
          <cell r="O125" t="str">
            <v xml:space="preserve">12° JUZGADO CIVIL-COMERCIAL   </v>
          </cell>
          <cell r="P125" t="str">
            <v>2026.06.26</v>
          </cell>
          <cell r="Q125">
            <v>104207.76</v>
          </cell>
          <cell r="R125" t="str">
            <v>PRESENTACION DE LA DEMANDA</v>
          </cell>
          <cell r="S125">
            <v>96191.11</v>
          </cell>
        </row>
        <row r="126">
          <cell r="E126" t="str">
            <v>107074101002021716</v>
          </cell>
          <cell r="F126" t="str">
            <v>NEVERLAN IMPORT E.I.R.L.</v>
          </cell>
          <cell r="G126" t="str">
            <v>001</v>
          </cell>
          <cell r="H126">
            <v>12</v>
          </cell>
          <cell r="I126" t="str">
            <v>2026.07.05</v>
          </cell>
          <cell r="J126">
            <v>179.99</v>
          </cell>
          <cell r="K126" t="str">
            <v>SI</v>
          </cell>
          <cell r="L126">
            <v>0</v>
          </cell>
          <cell r="M126">
            <v>14594.14</v>
          </cell>
          <cell r="N126" t="str">
            <v>03822-2026-57-1828-JR-CO-16</v>
          </cell>
          <cell r="O126" t="str">
            <v xml:space="preserve">16° JUZGADO CIVIL - COMERCIAL </v>
          </cell>
          <cell r="P126" t="str">
            <v>2026.02.05</v>
          </cell>
          <cell r="Q126">
            <v>93576.56</v>
          </cell>
          <cell r="R126" t="str">
            <v>PRESENTACION DE LA DEMANDA</v>
          </cell>
          <cell r="S126">
            <v>78067.009999999995</v>
          </cell>
        </row>
        <row r="127">
          <cell r="E127" t="str">
            <v>107074101002211597</v>
          </cell>
          <cell r="F127" t="str">
            <v>NEYRA MORALES, ALLISON MISHELL</v>
          </cell>
          <cell r="G127" t="str">
            <v xml:space="preserve">-  </v>
          </cell>
          <cell r="H127">
            <v>0</v>
          </cell>
          <cell r="I127" t="str">
            <v>-</v>
          </cell>
          <cell r="J127">
            <v>0</v>
          </cell>
          <cell r="K127" t="str">
            <v>NO</v>
          </cell>
          <cell r="L127">
            <v>0</v>
          </cell>
          <cell r="M127">
            <v>0</v>
          </cell>
          <cell r="N127" t="str">
            <v>00937-2025-19-3002-JP-CI-02</v>
          </cell>
          <cell r="O127" t="str">
            <v>JUZGADO DE PAZ LETRADO - CIVIL</v>
          </cell>
          <cell r="P127" t="str">
            <v>2025.11.29</v>
          </cell>
          <cell r="Q127">
            <v>21727.75</v>
          </cell>
          <cell r="R127" t="str">
            <v>PRESENTACION DE LA DEMANDA</v>
          </cell>
          <cell r="S127">
            <v>19253.37</v>
          </cell>
        </row>
        <row r="128">
          <cell r="E128" t="str">
            <v>107074101001124105</v>
          </cell>
          <cell r="F128" t="str">
            <v>OBLITAS MEJIA, ENRIQUE OSWALDO</v>
          </cell>
          <cell r="G128" t="str">
            <v xml:space="preserve">-  </v>
          </cell>
          <cell r="H128">
            <v>0</v>
          </cell>
          <cell r="I128" t="str">
            <v>-</v>
          </cell>
          <cell r="J128">
            <v>0</v>
          </cell>
          <cell r="K128" t="str">
            <v>NO</v>
          </cell>
          <cell r="L128">
            <v>0</v>
          </cell>
          <cell r="M128">
            <v>0</v>
          </cell>
          <cell r="N128" t="str">
            <v>01488-2025-0-1828-JR-CO-07</v>
          </cell>
          <cell r="O128" t="str">
            <v xml:space="preserve">7°JUZGADO CIVIL-COMERCIAL     </v>
          </cell>
          <cell r="P128" t="str">
            <v>2025.01.20</v>
          </cell>
          <cell r="Q128">
            <v>37591.730000000003</v>
          </cell>
          <cell r="R128" t="str">
            <v>PRESENTACION DE LA DEMANDA</v>
          </cell>
          <cell r="S128">
            <v>33031.800000000003</v>
          </cell>
        </row>
        <row r="129">
          <cell r="E129" t="str">
            <v>107074101002094849</v>
          </cell>
          <cell r="F129" t="str">
            <v>OLIVERA CASTRO, GIOVANNA JUDITH</v>
          </cell>
          <cell r="G129" t="str">
            <v xml:space="preserve">-  </v>
          </cell>
          <cell r="H129">
            <v>0</v>
          </cell>
          <cell r="I129" t="str">
            <v>-</v>
          </cell>
          <cell r="J129">
            <v>0</v>
          </cell>
          <cell r="K129" t="str">
            <v>NO</v>
          </cell>
          <cell r="L129">
            <v>0</v>
          </cell>
          <cell r="M129">
            <v>0</v>
          </cell>
          <cell r="N129" t="str">
            <v>03825-2026-25-1828-JR-CO-03</v>
          </cell>
          <cell r="O129" t="str">
            <v xml:space="preserve">3°JUZGADO CIVIL-COMERCIAL     </v>
          </cell>
          <cell r="P129" t="str">
            <v>2026.02.05</v>
          </cell>
          <cell r="Q129">
            <v>55733.8</v>
          </cell>
          <cell r="R129" t="str">
            <v>PRESENTACION DE LA DEMANDA</v>
          </cell>
          <cell r="S129">
            <v>49331.37</v>
          </cell>
        </row>
        <row r="130">
          <cell r="E130" t="str">
            <v>107024101005795370</v>
          </cell>
          <cell r="F130" t="str">
            <v>ORMEÑO VARGAS, JESUS BRAYAN</v>
          </cell>
          <cell r="G130" t="str">
            <v>006</v>
          </cell>
          <cell r="H130">
            <v>6</v>
          </cell>
          <cell r="I130" t="str">
            <v>2026.07.29</v>
          </cell>
          <cell r="J130">
            <v>1682.3</v>
          </cell>
          <cell r="K130" t="str">
            <v>SI</v>
          </cell>
          <cell r="L130">
            <v>0</v>
          </cell>
          <cell r="M130">
            <v>15165.31</v>
          </cell>
          <cell r="N130" t="str">
            <v>00089-2025-11-1866-JP-CI-02</v>
          </cell>
          <cell r="O130" t="str">
            <v>2° JPL (SEDE BARRANCO - MIRAFL</v>
          </cell>
          <cell r="P130" t="str">
            <v>2025.01.10</v>
          </cell>
          <cell r="Q130">
            <v>27440.14</v>
          </cell>
          <cell r="R130" t="str">
            <v>PRESENTACION DE LA DEMANDA</v>
          </cell>
          <cell r="S130">
            <v>0</v>
          </cell>
        </row>
        <row r="131">
          <cell r="E131" t="str">
            <v>107074101001120997</v>
          </cell>
          <cell r="F131" t="str">
            <v>PAREDES RODRIGUEZ, FRANCISCO</v>
          </cell>
          <cell r="G131" t="str">
            <v xml:space="preserve">-  </v>
          </cell>
          <cell r="H131">
            <v>0</v>
          </cell>
          <cell r="I131" t="str">
            <v>-</v>
          </cell>
          <cell r="J131">
            <v>0</v>
          </cell>
          <cell r="K131" t="str">
            <v>NO</v>
          </cell>
          <cell r="L131">
            <v>0</v>
          </cell>
          <cell r="M131">
            <v>0</v>
          </cell>
          <cell r="N131" t="str">
            <v>00317-2023-0-3005-JR-CI-01</v>
          </cell>
          <cell r="O131" t="str">
            <v>JUZG.CIVIL TRANSITORIO-VILLA M</v>
          </cell>
          <cell r="P131" t="str">
            <v>2023.05.09</v>
          </cell>
          <cell r="Q131">
            <v>61686.7</v>
          </cell>
          <cell r="R131" t="str">
            <v>PRESENTACION DE LA DEMANDA</v>
          </cell>
          <cell r="S131">
            <v>32000</v>
          </cell>
        </row>
        <row r="132">
          <cell r="E132" t="str">
            <v>107074101002048448</v>
          </cell>
          <cell r="F132" t="str">
            <v>PAYANO VICENTE, RODRIGO ALEXANDER</v>
          </cell>
          <cell r="G132" t="str">
            <v>004</v>
          </cell>
          <cell r="H132">
            <v>12</v>
          </cell>
          <cell r="I132" t="str">
            <v>2026.07.30</v>
          </cell>
          <cell r="J132">
            <v>2433.9</v>
          </cell>
          <cell r="K132" t="str">
            <v>SI</v>
          </cell>
          <cell r="L132">
            <v>0</v>
          </cell>
          <cell r="M132">
            <v>33794.26</v>
          </cell>
          <cell r="N132" t="str">
            <v>00943-2026-53-1866-JP-CI-03</v>
          </cell>
          <cell r="O132" t="str">
            <v>3° JPL (SEDE BARRANCO-MIRAFLOR</v>
          </cell>
          <cell r="P132" t="str">
            <v>2026.02.26</v>
          </cell>
          <cell r="Q132">
            <v>32364</v>
          </cell>
          <cell r="R132" t="str">
            <v>PRESENTACION DE LA DEMANDA</v>
          </cell>
          <cell r="S132">
            <v>20308.830000000002</v>
          </cell>
        </row>
        <row r="133">
          <cell r="E133" t="str">
            <v>107074101000994919</v>
          </cell>
          <cell r="F133" t="str">
            <v>PEDRERA DE LA CRUZ, MARIA ADELINA</v>
          </cell>
          <cell r="G133" t="str">
            <v>001</v>
          </cell>
          <cell r="H133">
            <v>16</v>
          </cell>
          <cell r="I133" t="str">
            <v>2026.07.30</v>
          </cell>
          <cell r="J133">
            <v>920</v>
          </cell>
          <cell r="K133" t="str">
            <v>SI</v>
          </cell>
          <cell r="L133">
            <v>0</v>
          </cell>
          <cell r="M133">
            <v>18996.54</v>
          </cell>
          <cell r="N133" t="str">
            <v>10666-2025-0-1828-JR-CO-14</v>
          </cell>
          <cell r="O133" t="str">
            <v xml:space="preserve">14°JUZGADO CIVIL-COMERCIAL    </v>
          </cell>
          <cell r="P133" t="str">
            <v>2025.05.16</v>
          </cell>
          <cell r="Q133">
            <v>28266.639999999999</v>
          </cell>
          <cell r="R133" t="str">
            <v>PRESENTACION DE LA DEMANDA</v>
          </cell>
          <cell r="S133">
            <v>9656.3700000000008</v>
          </cell>
        </row>
        <row r="134">
          <cell r="E134" t="str">
            <v>107074101001652404</v>
          </cell>
          <cell r="F134" t="str">
            <v>PLETIKOSIC GUZMAN, LUIS ALVARO</v>
          </cell>
          <cell r="G134" t="str">
            <v xml:space="preserve">-  </v>
          </cell>
          <cell r="H134">
            <v>0</v>
          </cell>
          <cell r="I134" t="str">
            <v>-</v>
          </cell>
          <cell r="J134">
            <v>0</v>
          </cell>
          <cell r="K134" t="str">
            <v>NO</v>
          </cell>
          <cell r="L134">
            <v>0</v>
          </cell>
          <cell r="M134">
            <v>0</v>
          </cell>
          <cell r="N134" t="str">
            <v>08907-2025-8-1828-JR-CO-04</v>
          </cell>
          <cell r="O134" t="str">
            <v xml:space="preserve">4° JUZGADO CIVIL-COMERCIAL    </v>
          </cell>
          <cell r="P134" t="str">
            <v>2025.04.23</v>
          </cell>
          <cell r="Q134">
            <v>61027.93</v>
          </cell>
          <cell r="R134" t="str">
            <v>PRESENTACION DE LA DEMANDA</v>
          </cell>
          <cell r="S134">
            <v>55189.38</v>
          </cell>
        </row>
        <row r="135">
          <cell r="E135" t="str">
            <v>107074101001781801</v>
          </cell>
          <cell r="F135" t="str">
            <v>QUIÑONES ALBERTO, FRANCISCO REYNALDO</v>
          </cell>
          <cell r="G135" t="str">
            <v xml:space="preserve">-  </v>
          </cell>
          <cell r="H135">
            <v>0</v>
          </cell>
          <cell r="I135" t="str">
            <v>-</v>
          </cell>
          <cell r="J135">
            <v>0</v>
          </cell>
          <cell r="K135" t="str">
            <v>NO</v>
          </cell>
          <cell r="L135">
            <v>0</v>
          </cell>
          <cell r="M135">
            <v>0</v>
          </cell>
          <cell r="N135" t="str">
            <v>03699-2024-46-1866-JP-CI-03</v>
          </cell>
          <cell r="O135" t="str">
            <v>3° JPL (SEDE BARRANCO-MIRAFLOR</v>
          </cell>
          <cell r="P135" t="str">
            <v>2024.08.14</v>
          </cell>
          <cell r="Q135">
            <v>15854.1</v>
          </cell>
          <cell r="R135" t="str">
            <v>PRESENTACION DE LA DEMANDA</v>
          </cell>
          <cell r="S135">
            <v>14487.08</v>
          </cell>
        </row>
        <row r="136">
          <cell r="E136" t="str">
            <v>107074101001612541</v>
          </cell>
          <cell r="F136" t="str">
            <v>REPUESTOS ABAMAC E.I.R.L</v>
          </cell>
          <cell r="G136" t="str">
            <v>012</v>
          </cell>
          <cell r="H136">
            <v>12</v>
          </cell>
          <cell r="I136" t="str">
            <v>2026.07.30</v>
          </cell>
          <cell r="J136">
            <v>46963.45</v>
          </cell>
          <cell r="K136" t="str">
            <v>SI</v>
          </cell>
          <cell r="L136">
            <v>0</v>
          </cell>
          <cell r="M136">
            <v>72051.81</v>
          </cell>
          <cell r="N136" t="str">
            <v>00910-2024-56-1820-JP-CI-03</v>
          </cell>
          <cell r="O136" t="str">
            <v>3° JPL(SEDE LINCE- SAN ISIDRO)</v>
          </cell>
          <cell r="P136" t="str">
            <v>2024.05.14</v>
          </cell>
          <cell r="Q136">
            <v>67887.210000000006</v>
          </cell>
          <cell r="R136" t="str">
            <v>PRESENTACION DE LA DEMANDA</v>
          </cell>
          <cell r="S136">
            <v>39141.71</v>
          </cell>
        </row>
        <row r="137">
          <cell r="E137" t="str">
            <v>107074101001154754</v>
          </cell>
          <cell r="F137" t="str">
            <v>RIVCAL SAC</v>
          </cell>
          <cell r="G137" t="str">
            <v xml:space="preserve">-  </v>
          </cell>
          <cell r="H137">
            <v>0</v>
          </cell>
          <cell r="I137" t="str">
            <v>-</v>
          </cell>
          <cell r="J137">
            <v>0</v>
          </cell>
          <cell r="K137" t="str">
            <v>NO</v>
          </cell>
          <cell r="L137">
            <v>0</v>
          </cell>
          <cell r="M137">
            <v>0</v>
          </cell>
          <cell r="N137" t="str">
            <v>00006-2023-0-3005-JR-CO-01</v>
          </cell>
          <cell r="O137" t="str">
            <v xml:space="preserve">JUZGADO CIVIL CHORRILLOS      </v>
          </cell>
          <cell r="P137" t="str">
            <v>2023.07.17</v>
          </cell>
          <cell r="Q137">
            <v>160779.70000000001</v>
          </cell>
          <cell r="R137" t="str">
            <v>PRESENTACION DE LA DEMANDA</v>
          </cell>
          <cell r="S137">
            <v>134274.04</v>
          </cell>
        </row>
        <row r="138">
          <cell r="E138" t="str">
            <v>107024101005602791</v>
          </cell>
          <cell r="F138" t="str">
            <v>SALAZAR REYNOSO, KAREN MARIELENA</v>
          </cell>
          <cell r="G138" t="str">
            <v xml:space="preserve">-  </v>
          </cell>
          <cell r="H138">
            <v>0</v>
          </cell>
          <cell r="I138" t="str">
            <v>-</v>
          </cell>
          <cell r="J138">
            <v>0</v>
          </cell>
          <cell r="K138" t="str">
            <v>NO</v>
          </cell>
          <cell r="L138">
            <v>0</v>
          </cell>
          <cell r="M138">
            <v>0</v>
          </cell>
          <cell r="N138" t="str">
            <v>02199-2025-0-1828-JR-CO-03</v>
          </cell>
          <cell r="O138" t="str">
            <v xml:space="preserve">3°JUZGADO CIVIL-COMERCIAL     </v>
          </cell>
          <cell r="P138" t="str">
            <v>2025.01.29</v>
          </cell>
          <cell r="Q138">
            <v>39098.239999999998</v>
          </cell>
          <cell r="R138" t="str">
            <v>PRESENTACION DE LA DEMANDA</v>
          </cell>
          <cell r="S138">
            <v>13031.28</v>
          </cell>
        </row>
        <row r="139">
          <cell r="E139" t="str">
            <v>107024101005716000</v>
          </cell>
          <cell r="F139" t="str">
            <v>SALOME VEGAZO, ANGELA JANET</v>
          </cell>
          <cell r="G139" t="str">
            <v xml:space="preserve">-  </v>
          </cell>
          <cell r="H139">
            <v>0</v>
          </cell>
          <cell r="I139" t="str">
            <v>-</v>
          </cell>
          <cell r="J139">
            <v>0</v>
          </cell>
          <cell r="K139" t="str">
            <v>NO</v>
          </cell>
          <cell r="L139">
            <v>0</v>
          </cell>
          <cell r="M139">
            <v>0</v>
          </cell>
          <cell r="N139" t="str">
            <v>00322-2024-10-3002-JP-CI-02</v>
          </cell>
          <cell r="O139" t="str">
            <v xml:space="preserve">JPL CIVIL DE SJM              </v>
          </cell>
          <cell r="P139" t="str">
            <v>2024.04.25</v>
          </cell>
          <cell r="Q139">
            <v>27636.22</v>
          </cell>
          <cell r="R139" t="str">
            <v>PRESENTACION DE LA DEMANDA</v>
          </cell>
          <cell r="S139">
            <v>16985.61</v>
          </cell>
        </row>
        <row r="140">
          <cell r="E140" t="str">
            <v>107024101005245572</v>
          </cell>
          <cell r="F140" t="str">
            <v>SANCHEZ SUAREZ, GERALDIN ARIANA</v>
          </cell>
          <cell r="G140" t="str">
            <v xml:space="preserve">-  </v>
          </cell>
          <cell r="H140">
            <v>0</v>
          </cell>
          <cell r="I140" t="str">
            <v>-</v>
          </cell>
          <cell r="J140">
            <v>0</v>
          </cell>
          <cell r="K140" t="str">
            <v>NO</v>
          </cell>
          <cell r="L140">
            <v>0</v>
          </cell>
          <cell r="M140">
            <v>0</v>
          </cell>
          <cell r="N140" t="str">
            <v>10286-2025-0-1828-JR-CO-17</v>
          </cell>
          <cell r="O140" t="str">
            <v xml:space="preserve">17° JUZGADO CIVIL-COMERCIAL   </v>
          </cell>
          <cell r="P140" t="str">
            <v>2025.05.10</v>
          </cell>
          <cell r="Q140">
            <v>24294.92</v>
          </cell>
          <cell r="R140" t="str">
            <v>PRESENTACION DE LA DEMANDA</v>
          </cell>
          <cell r="S140">
            <v>22524.46</v>
          </cell>
        </row>
        <row r="141">
          <cell r="E141" t="str">
            <v>107074101001158944</v>
          </cell>
          <cell r="F141" t="str">
            <v>SHULCAN.COM E.I.R.L.</v>
          </cell>
          <cell r="G141" t="str">
            <v xml:space="preserve">-  </v>
          </cell>
          <cell r="H141">
            <v>0</v>
          </cell>
          <cell r="I141" t="str">
            <v>-</v>
          </cell>
          <cell r="J141">
            <v>0</v>
          </cell>
          <cell r="K141" t="str">
            <v>NO</v>
          </cell>
          <cell r="L141">
            <v>0</v>
          </cell>
          <cell r="M141">
            <v>0</v>
          </cell>
          <cell r="N141" t="str">
            <v>10286-2023-0-1817-JR-CO-10</v>
          </cell>
          <cell r="O141" t="str">
            <v xml:space="preserve">10° JUZGADO CIVIL COMERCIAL   </v>
          </cell>
          <cell r="P141" t="str">
            <v>2023.05.22</v>
          </cell>
          <cell r="Q141">
            <v>340355.39</v>
          </cell>
          <cell r="R141" t="str">
            <v>PRESENTACION DE LA DEMANDA</v>
          </cell>
          <cell r="S141">
            <v>199592.75</v>
          </cell>
        </row>
        <row r="142">
          <cell r="E142" t="str">
            <v>107074101001129019</v>
          </cell>
          <cell r="F142" t="str">
            <v>TIERRA DE FUEGO &amp; GRUPO MONTENEGRO S.A.C.</v>
          </cell>
          <cell r="G142" t="str">
            <v xml:space="preserve">-  </v>
          </cell>
          <cell r="H142">
            <v>0</v>
          </cell>
          <cell r="I142" t="str">
            <v>-</v>
          </cell>
          <cell r="J142">
            <v>0</v>
          </cell>
          <cell r="K142" t="str">
            <v>NO</v>
          </cell>
          <cell r="L142">
            <v>0</v>
          </cell>
          <cell r="M142">
            <v>0</v>
          </cell>
          <cell r="N142" t="str">
            <v>00749-2023-52-1814-JP-CO-02</v>
          </cell>
          <cell r="O142" t="str">
            <v>2 JUZGADO PAZ LETRADO LA VICTO</v>
          </cell>
          <cell r="P142" t="str">
            <v>2023.09.21</v>
          </cell>
          <cell r="Q142">
            <v>18995.52</v>
          </cell>
          <cell r="R142" t="str">
            <v>PRESENTACION DE LA DEMANDA</v>
          </cell>
          <cell r="S142">
            <v>13391.6</v>
          </cell>
        </row>
        <row r="143">
          <cell r="E143" t="str">
            <v>107074101002183842</v>
          </cell>
          <cell r="F143" t="str">
            <v>VILCAPOMA CANCHANYA, NICANOR JUAN</v>
          </cell>
          <cell r="G143" t="str">
            <v xml:space="preserve">-  </v>
          </cell>
          <cell r="H143">
            <v>0</v>
          </cell>
          <cell r="I143" t="str">
            <v>-</v>
          </cell>
          <cell r="J143">
            <v>0</v>
          </cell>
          <cell r="K143" t="str">
            <v>NO</v>
          </cell>
          <cell r="L143">
            <v>0</v>
          </cell>
          <cell r="M143">
            <v>0</v>
          </cell>
          <cell r="N143" t="str">
            <v>03877-2025-49-1866-JP-CI-02</v>
          </cell>
          <cell r="O143" t="str">
            <v>2° JPL (SEDE BARRANCO - MIRAFL</v>
          </cell>
          <cell r="P143" t="str">
            <v>2025.08.29</v>
          </cell>
          <cell r="Q143">
            <v>83660.570000000007</v>
          </cell>
          <cell r="R143" t="str">
            <v>PRESENTACION DE LA DEMANDA</v>
          </cell>
          <cell r="S143">
            <v>34853.61</v>
          </cell>
        </row>
        <row r="144">
          <cell r="E144" t="str">
            <v>107074101000624876</v>
          </cell>
          <cell r="F144" t="str">
            <v>YAÑAC TUNQUE, ELVA</v>
          </cell>
          <cell r="G144" t="str">
            <v>008</v>
          </cell>
          <cell r="H144">
            <v>12</v>
          </cell>
          <cell r="I144" t="str">
            <v>2026.07.24</v>
          </cell>
          <cell r="J144">
            <v>999.92</v>
          </cell>
          <cell r="K144" t="str">
            <v>SI</v>
          </cell>
          <cell r="L144">
            <v>0</v>
          </cell>
          <cell r="M144">
            <v>89944.19</v>
          </cell>
          <cell r="N144" t="str">
            <v>04843-2021-0-1817-JR-CO-04</v>
          </cell>
          <cell r="O144" t="str">
            <v xml:space="preserve">4° JUZGADO CIVIL-COMERCIAL    </v>
          </cell>
          <cell r="P144" t="str">
            <v>2021.03.19</v>
          </cell>
          <cell r="Q144">
            <v>81283.31</v>
          </cell>
          <cell r="R144" t="str">
            <v>SENTENCIADO</v>
          </cell>
          <cell r="S144">
            <v>23239.16</v>
          </cell>
        </row>
        <row r="145">
          <cell r="E145" t="str">
            <v>107099101002017780</v>
          </cell>
          <cell r="F145" t="str">
            <v>CASTAÑEDA CAMONES, HEBERT RONY</v>
          </cell>
          <cell r="G145" t="str">
            <v xml:space="preserve">-  </v>
          </cell>
          <cell r="H145">
            <v>0</v>
          </cell>
          <cell r="I145" t="str">
            <v>-</v>
          </cell>
          <cell r="J145">
            <v>0</v>
          </cell>
          <cell r="K145" t="str">
            <v>NO</v>
          </cell>
          <cell r="L145">
            <v>0</v>
          </cell>
          <cell r="M145">
            <v>0</v>
          </cell>
          <cell r="N145" t="str">
            <v>01980-2025-3-1966-JP- C-02</v>
          </cell>
          <cell r="O145" t="str">
            <v xml:space="preserve">2 JPL BARRANCO MIRAFLORES     </v>
          </cell>
          <cell r="P145" t="str">
            <v>2025.05.27</v>
          </cell>
          <cell r="Q145">
            <v>30100</v>
          </cell>
          <cell r="R145" t="str">
            <v>PRESENTACION DE LA DEMANDA</v>
          </cell>
          <cell r="S145">
            <v>27198.639999999999</v>
          </cell>
        </row>
        <row r="146">
          <cell r="E146" t="str">
            <v>107099101001710173</v>
          </cell>
          <cell r="F146" t="str">
            <v>CRUZ JIMENEZ, LUIS SEGUNDO</v>
          </cell>
          <cell r="G146" t="str">
            <v xml:space="preserve">-  </v>
          </cell>
          <cell r="H146">
            <v>0</v>
          </cell>
          <cell r="I146" t="str">
            <v>-</v>
          </cell>
          <cell r="J146">
            <v>0</v>
          </cell>
          <cell r="K146" t="str">
            <v>NO</v>
          </cell>
          <cell r="L146">
            <v>0</v>
          </cell>
          <cell r="M146">
            <v>0</v>
          </cell>
          <cell r="N146" t="str">
            <v>16946-2025-24-1828-JR-CO-09</v>
          </cell>
          <cell r="O146" t="str">
            <v xml:space="preserve">3° JUZ CIVIL COMERCIAL        </v>
          </cell>
          <cell r="P146" t="str">
            <v>2025.07.01</v>
          </cell>
          <cell r="Q146">
            <v>43000</v>
          </cell>
          <cell r="R146" t="str">
            <v>PRESENTACION DE LA DEMANDA</v>
          </cell>
          <cell r="S146">
            <v>77311.179999999993</v>
          </cell>
        </row>
        <row r="147">
          <cell r="E147" t="str">
            <v>107099101000880265</v>
          </cell>
          <cell r="F147" t="str">
            <v>ERAZO BENAVIDES, DIANA ELIZABETH</v>
          </cell>
          <cell r="G147" t="str">
            <v xml:space="preserve">-  </v>
          </cell>
          <cell r="H147">
            <v>0</v>
          </cell>
          <cell r="I147" t="str">
            <v>-</v>
          </cell>
          <cell r="J147">
            <v>0</v>
          </cell>
          <cell r="K147" t="str">
            <v>NO</v>
          </cell>
          <cell r="L147">
            <v>0</v>
          </cell>
          <cell r="M147">
            <v>0</v>
          </cell>
          <cell r="N147" t="str">
            <v>00366-2023-81-3004-JP-CI-01</v>
          </cell>
          <cell r="O147" t="str">
            <v>JUZGADO CIVIL TRANSITORIO CHOR</v>
          </cell>
          <cell r="P147" t="str">
            <v>2023.05.11</v>
          </cell>
          <cell r="Q147">
            <v>24000</v>
          </cell>
          <cell r="R147" t="str">
            <v>PRESENTACION DE LA DEMANDA</v>
          </cell>
          <cell r="S147">
            <v>29000</v>
          </cell>
        </row>
        <row r="148">
          <cell r="E148" t="str">
            <v>107099101001921420</v>
          </cell>
          <cell r="F148" t="str">
            <v>ESTACIO GIRON, ROSA MARIBEL</v>
          </cell>
          <cell r="G148" t="str">
            <v xml:space="preserve">-  </v>
          </cell>
          <cell r="H148">
            <v>0</v>
          </cell>
          <cell r="I148" t="str">
            <v>-</v>
          </cell>
          <cell r="J148">
            <v>0</v>
          </cell>
          <cell r="K148" t="str">
            <v>NO</v>
          </cell>
          <cell r="L148">
            <v>0</v>
          </cell>
          <cell r="M148">
            <v>0</v>
          </cell>
          <cell r="N148" t="str">
            <v>04794-2024-28-1866-JP-CI-02</v>
          </cell>
          <cell r="O148" t="str">
            <v xml:space="preserve">2 JPL BARRANCO MIRAFLORES     </v>
          </cell>
          <cell r="P148" t="str">
            <v>2024.10.10</v>
          </cell>
          <cell r="Q148">
            <v>17321.560000000001</v>
          </cell>
          <cell r="R148" t="str">
            <v>PRESENTACION DE LA DEMANDA</v>
          </cell>
          <cell r="S148">
            <v>8376.56</v>
          </cell>
        </row>
        <row r="149">
          <cell r="E149" t="str">
            <v>107099101001915847</v>
          </cell>
          <cell r="F149" t="str">
            <v>FLORES MARTINEZ, LUIS ALBERTO</v>
          </cell>
          <cell r="G149" t="str">
            <v>001</v>
          </cell>
          <cell r="H149">
            <v>12</v>
          </cell>
          <cell r="I149" t="str">
            <v>2026.06.29</v>
          </cell>
          <cell r="J149">
            <v>650</v>
          </cell>
          <cell r="K149" t="str">
            <v>NO</v>
          </cell>
          <cell r="L149">
            <v>2</v>
          </cell>
          <cell r="M149">
            <v>22080.07</v>
          </cell>
          <cell r="N149" t="str">
            <v>00447-2025-0-1820-JP-CI-04</v>
          </cell>
          <cell r="O149" t="str">
            <v xml:space="preserve">4° JUZGADO LAZ LETRADO        </v>
          </cell>
          <cell r="P149" t="str">
            <v>2025.03.18</v>
          </cell>
          <cell r="Q149">
            <v>24560</v>
          </cell>
          <cell r="R149" t="str">
            <v>PRESENTACION DE LA DEMANDA</v>
          </cell>
          <cell r="S149">
            <v>15339.55</v>
          </cell>
        </row>
        <row r="150">
          <cell r="E150" t="str">
            <v>107099101000734231</v>
          </cell>
          <cell r="F150" t="str">
            <v>HUAMAN QUISPE, MOISES</v>
          </cell>
          <cell r="G150" t="str">
            <v>002</v>
          </cell>
          <cell r="H150">
            <v>12</v>
          </cell>
          <cell r="I150" t="str">
            <v>2026.07.25</v>
          </cell>
          <cell r="J150">
            <v>500</v>
          </cell>
          <cell r="K150" t="str">
            <v>SI</v>
          </cell>
          <cell r="L150">
            <v>0</v>
          </cell>
          <cell r="M150">
            <v>88784.5</v>
          </cell>
          <cell r="N150" t="str">
            <v>00561-2021-0000-3002-JR-CI-01</v>
          </cell>
          <cell r="O150" t="str">
            <v xml:space="preserve">JUZGADO PAZ LETRADO - CIVIL   </v>
          </cell>
          <cell r="P150" t="str">
            <v>2021.10.25</v>
          </cell>
          <cell r="Q150">
            <v>73033.31</v>
          </cell>
          <cell r="R150" t="str">
            <v>SENTENCIADO</v>
          </cell>
          <cell r="S150">
            <v>27120.44</v>
          </cell>
        </row>
        <row r="151">
          <cell r="E151" t="str">
            <v>107099101000976732</v>
          </cell>
          <cell r="F151" t="str">
            <v>INOÑAN REYES, JIMMY ARTURO</v>
          </cell>
          <cell r="G151" t="str">
            <v>001</v>
          </cell>
          <cell r="H151">
            <v>12</v>
          </cell>
          <cell r="I151" t="str">
            <v>2026.06.19</v>
          </cell>
          <cell r="J151">
            <v>1199.95</v>
          </cell>
          <cell r="K151" t="str">
            <v>NO</v>
          </cell>
          <cell r="L151">
            <v>12</v>
          </cell>
          <cell r="M151">
            <v>25349.91</v>
          </cell>
          <cell r="N151" t="str">
            <v>00176-2026-22-3002-JP-CI-02</v>
          </cell>
          <cell r="O151" t="str">
            <v>JPL CIVL DE SAN JUAN DE MIRAFL</v>
          </cell>
          <cell r="P151" t="str">
            <v>2026.03.26</v>
          </cell>
          <cell r="Q151">
            <v>23838</v>
          </cell>
          <cell r="R151" t="str">
            <v>PRESENTACION DE LA DEMANDA</v>
          </cell>
          <cell r="S151">
            <v>18671.060000000001</v>
          </cell>
        </row>
        <row r="152">
          <cell r="E152" t="str">
            <v>107099101001382366</v>
          </cell>
          <cell r="F152" t="str">
            <v>K &amp; P MAQUINARIAS S.A.C</v>
          </cell>
          <cell r="G152" t="str">
            <v>007</v>
          </cell>
          <cell r="H152">
            <v>12</v>
          </cell>
          <cell r="I152" t="str">
            <v>2026.04.24</v>
          </cell>
          <cell r="J152">
            <v>2199.6</v>
          </cell>
          <cell r="K152" t="str">
            <v>NO</v>
          </cell>
          <cell r="L152">
            <v>68</v>
          </cell>
          <cell r="M152">
            <v>49766.91</v>
          </cell>
          <cell r="N152" t="str">
            <v>00498-2023-49-3002-J - R-01</v>
          </cell>
          <cell r="O152" t="str">
            <v xml:space="preserve">12° JUZGADO CIVIL COMERCIAL   </v>
          </cell>
          <cell r="P152" t="str">
            <v>2023.07.31</v>
          </cell>
          <cell r="Q152">
            <v>46523.89</v>
          </cell>
          <cell r="R152" t="str">
            <v>PRESENTACION DE LA DEMANDA</v>
          </cell>
          <cell r="S152">
            <v>25124.560000000001</v>
          </cell>
        </row>
        <row r="153">
          <cell r="E153" t="str">
            <v>107099101002048607</v>
          </cell>
          <cell r="F153" t="str">
            <v>LOPEZ MEZA, JUAN CARLOS</v>
          </cell>
          <cell r="G153" t="str">
            <v>003</v>
          </cell>
          <cell r="H153">
            <v>12</v>
          </cell>
          <cell r="I153" t="str">
            <v>2026.02.07</v>
          </cell>
          <cell r="J153">
            <v>1199.8499999999999</v>
          </cell>
          <cell r="K153" t="str">
            <v>NO</v>
          </cell>
          <cell r="L153">
            <v>144</v>
          </cell>
          <cell r="M153">
            <v>23689.27</v>
          </cell>
          <cell r="N153" t="str">
            <v>01338-2025-62-1866-JP-CI-03</v>
          </cell>
          <cell r="O153" t="str">
            <v>3° JUZGADO DE PAZ LETRADO (SED</v>
          </cell>
          <cell r="P153" t="str">
            <v>2025.04.14</v>
          </cell>
          <cell r="Q153">
            <v>17500</v>
          </cell>
          <cell r="R153" t="str">
            <v>PRESENTACION DE LA DEMANDA</v>
          </cell>
          <cell r="S153">
            <v>13100.15</v>
          </cell>
        </row>
        <row r="154">
          <cell r="E154" t="str">
            <v>107099101001876867</v>
          </cell>
          <cell r="F154" t="str">
            <v>MONTAÑEZ ACUÑA, ROSMERY</v>
          </cell>
          <cell r="G154" t="str">
            <v xml:space="preserve">-  </v>
          </cell>
          <cell r="H154">
            <v>0</v>
          </cell>
          <cell r="I154" t="str">
            <v>-</v>
          </cell>
          <cell r="J154">
            <v>0</v>
          </cell>
          <cell r="K154" t="str">
            <v>NO</v>
          </cell>
          <cell r="L154">
            <v>0</v>
          </cell>
          <cell r="M154">
            <v>0</v>
          </cell>
          <cell r="N154" t="str">
            <v>08310-2026-53-1828-JR-CO-03</v>
          </cell>
          <cell r="O154" t="str">
            <v xml:space="preserve">3° JUZ CIVIL COMERCIAL        </v>
          </cell>
          <cell r="P154" t="str">
            <v>2026.03.31</v>
          </cell>
          <cell r="Q154">
            <v>56034.1</v>
          </cell>
          <cell r="R154" t="str">
            <v>PRESENTACION DE LA DEMANDA</v>
          </cell>
          <cell r="S154">
            <v>52791.54</v>
          </cell>
        </row>
        <row r="155">
          <cell r="E155" t="str">
            <v>107099101002118170</v>
          </cell>
          <cell r="F155" t="str">
            <v>NOLASCO ESTELA, LUZBET</v>
          </cell>
          <cell r="G155" t="str">
            <v>007</v>
          </cell>
          <cell r="H155">
            <v>12</v>
          </cell>
          <cell r="I155" t="str">
            <v>2026.07.30</v>
          </cell>
          <cell r="J155">
            <v>1799.65</v>
          </cell>
          <cell r="K155" t="str">
            <v>SI</v>
          </cell>
          <cell r="L155">
            <v>0</v>
          </cell>
          <cell r="M155">
            <v>80258.83</v>
          </cell>
          <cell r="N155" t="str">
            <v>17822-2025-92-1828-JR- C-04</v>
          </cell>
          <cell r="O155" t="str">
            <v xml:space="preserve">4° JUZGADO LAZ LETRADO        </v>
          </cell>
          <cell r="P155" t="str">
            <v>2025.08.15</v>
          </cell>
          <cell r="Q155">
            <v>30000</v>
          </cell>
          <cell r="R155" t="str">
            <v>PRESENTACION DE LA DEMANDA</v>
          </cell>
          <cell r="S155">
            <v>54115.74</v>
          </cell>
        </row>
        <row r="156">
          <cell r="E156" t="str">
            <v>107099101002089739</v>
          </cell>
          <cell r="F156" t="str">
            <v>ORE RIOS DE MONTALVO, BENEDICTA</v>
          </cell>
          <cell r="G156" t="str">
            <v xml:space="preserve">-  </v>
          </cell>
          <cell r="H156">
            <v>0</v>
          </cell>
          <cell r="I156" t="str">
            <v>-</v>
          </cell>
          <cell r="J156">
            <v>0</v>
          </cell>
          <cell r="K156" t="str">
            <v>NO</v>
          </cell>
          <cell r="L156">
            <v>0</v>
          </cell>
          <cell r="M156">
            <v>0</v>
          </cell>
          <cell r="N156" t="str">
            <v>03906-2025-39-1866-JP-CI-02</v>
          </cell>
          <cell r="O156" t="str">
            <v xml:space="preserve">2 JPL BARRANCO MIRAFLORES     </v>
          </cell>
          <cell r="P156" t="str">
            <v>2025.09.01</v>
          </cell>
          <cell r="Q156">
            <v>16152.36</v>
          </cell>
          <cell r="R156" t="str">
            <v>PRESENTACION DE LA DEMANDA</v>
          </cell>
          <cell r="S156">
            <v>16152.41</v>
          </cell>
        </row>
        <row r="157">
          <cell r="E157" t="str">
            <v>107099101001476900</v>
          </cell>
          <cell r="F157" t="str">
            <v>PURIZACA FARFAN, JOSE FERNANDO</v>
          </cell>
          <cell r="G157" t="str">
            <v xml:space="preserve">-  </v>
          </cell>
          <cell r="H157">
            <v>0</v>
          </cell>
          <cell r="I157" t="str">
            <v>-</v>
          </cell>
          <cell r="J157">
            <v>0</v>
          </cell>
          <cell r="K157" t="str">
            <v>NO</v>
          </cell>
          <cell r="L157">
            <v>0</v>
          </cell>
          <cell r="M157">
            <v>0</v>
          </cell>
          <cell r="N157" t="str">
            <v>00419-9202-74-3002-JP-CI-02</v>
          </cell>
          <cell r="O157" t="str">
            <v xml:space="preserve">JUZGADO PAZ LETRADO - CIVIL   </v>
          </cell>
          <cell r="P157" t="str">
            <v>2024.05.23</v>
          </cell>
          <cell r="Q157">
            <v>11287</v>
          </cell>
          <cell r="R157" t="str">
            <v>PRESENTACION DE LA DEMANDA</v>
          </cell>
          <cell r="S157">
            <v>6897.68</v>
          </cell>
        </row>
        <row r="158">
          <cell r="E158" t="str">
            <v>107099101001977978</v>
          </cell>
          <cell r="F158" t="str">
            <v>QUISPE APAZA, JUSTINA OLGA</v>
          </cell>
          <cell r="G158" t="str">
            <v>007</v>
          </cell>
          <cell r="H158">
            <v>12</v>
          </cell>
          <cell r="I158" t="str">
            <v>2026.07.30</v>
          </cell>
          <cell r="J158">
            <v>500</v>
          </cell>
          <cell r="K158" t="str">
            <v>SI</v>
          </cell>
          <cell r="L158">
            <v>0</v>
          </cell>
          <cell r="M158">
            <v>26773.47</v>
          </cell>
          <cell r="N158" t="str">
            <v>05217-2172-54-1866-JP-CI-03</v>
          </cell>
          <cell r="O158" t="str">
            <v xml:space="preserve">2 JPL BARRANCO MIRAFLORES     </v>
          </cell>
          <cell r="P158" t="str">
            <v>2024.11.18</v>
          </cell>
          <cell r="Q158">
            <v>24523</v>
          </cell>
          <cell r="R158" t="str">
            <v>PRESENTACION DE LA DEMANDA</v>
          </cell>
          <cell r="S158">
            <v>14333.17</v>
          </cell>
        </row>
        <row r="159">
          <cell r="E159" t="str">
            <v>107099101001631507</v>
          </cell>
          <cell r="F159" t="str">
            <v>QUISPE CUSI, ELENA CHARO</v>
          </cell>
          <cell r="G159" t="str">
            <v xml:space="preserve">-  </v>
          </cell>
          <cell r="H159">
            <v>0</v>
          </cell>
          <cell r="I159" t="str">
            <v>-</v>
          </cell>
          <cell r="J159">
            <v>0</v>
          </cell>
          <cell r="K159" t="str">
            <v>NO</v>
          </cell>
          <cell r="L159">
            <v>0</v>
          </cell>
          <cell r="M159">
            <v>0</v>
          </cell>
          <cell r="N159" t="str">
            <v>01019-2023-49-3005-JP-CI-01</v>
          </cell>
          <cell r="O159" t="str">
            <v xml:space="preserve">JUZGADO PAZ LETRADO - CIVIL   </v>
          </cell>
          <cell r="P159" t="str">
            <v>2023.12.22</v>
          </cell>
          <cell r="Q159">
            <v>29085.41</v>
          </cell>
          <cell r="R159" t="str">
            <v>PRESENTACION DE LA DEMANDA</v>
          </cell>
          <cell r="S159">
            <v>26199.49</v>
          </cell>
        </row>
        <row r="160">
          <cell r="E160" t="str">
            <v>107099101001960069</v>
          </cell>
          <cell r="F160" t="str">
            <v>RAMOS VARGAS, GLADYS HELEN</v>
          </cell>
          <cell r="G160" t="str">
            <v xml:space="preserve">-  </v>
          </cell>
          <cell r="H160">
            <v>0</v>
          </cell>
          <cell r="I160" t="str">
            <v>-</v>
          </cell>
          <cell r="J160">
            <v>0</v>
          </cell>
          <cell r="K160" t="str">
            <v>NO</v>
          </cell>
          <cell r="L160">
            <v>0</v>
          </cell>
          <cell r="M160">
            <v>0</v>
          </cell>
          <cell r="N160" t="str">
            <v>00639-2026-98-1866-JP- C-03</v>
          </cell>
          <cell r="O160" t="str">
            <v>3° JUZGADO DE PAZ LETRADO (SED</v>
          </cell>
          <cell r="P160" t="str">
            <v>2026.01.30</v>
          </cell>
          <cell r="Q160">
            <v>48571</v>
          </cell>
          <cell r="R160" t="str">
            <v>PRESENTACION DE LA DEMANDA</v>
          </cell>
          <cell r="S160">
            <v>37934.14</v>
          </cell>
        </row>
        <row r="161">
          <cell r="E161" t="str">
            <v>107099101001174672</v>
          </cell>
          <cell r="F161" t="str">
            <v>SANCHEZ CHUQUIMANGO, LIZ EUMELIA</v>
          </cell>
          <cell r="G161" t="str">
            <v>003</v>
          </cell>
          <cell r="H161">
            <v>12</v>
          </cell>
          <cell r="I161" t="str">
            <v>2026.06.30</v>
          </cell>
          <cell r="J161">
            <v>500</v>
          </cell>
          <cell r="K161" t="str">
            <v>NO</v>
          </cell>
          <cell r="L161">
            <v>1</v>
          </cell>
          <cell r="M161">
            <v>42423.16</v>
          </cell>
          <cell r="N161" t="str">
            <v>00034-2023-66-3005-JP-CO-01</v>
          </cell>
          <cell r="O161" t="str">
            <v xml:space="preserve">JUZGADO PAZ LETRADO - CIVIL   </v>
          </cell>
          <cell r="P161" t="str">
            <v>2023.11.20</v>
          </cell>
          <cell r="Q161">
            <v>38391.760000000002</v>
          </cell>
          <cell r="R161" t="str">
            <v>PRESENTACION DE LA DEMANDA</v>
          </cell>
          <cell r="S161">
            <v>22838.33</v>
          </cell>
        </row>
        <row r="162">
          <cell r="E162" t="str">
            <v>107099101001545470</v>
          </cell>
          <cell r="F162" t="str">
            <v>SANCHO GONZALES, JOSE ANTONIO</v>
          </cell>
          <cell r="G162" t="str">
            <v>001</v>
          </cell>
          <cell r="H162">
            <v>1</v>
          </cell>
          <cell r="I162" t="str">
            <v>2026.06.19</v>
          </cell>
          <cell r="J162">
            <v>291.41000000000003</v>
          </cell>
          <cell r="K162" t="str">
            <v>NO</v>
          </cell>
          <cell r="L162">
            <v>12</v>
          </cell>
          <cell r="M162">
            <v>7654.83</v>
          </cell>
          <cell r="N162" t="str">
            <v>00753-2024-0-3002-JP-CI-02</v>
          </cell>
          <cell r="O162" t="str">
            <v>JPL CIVL DE SAN JUAN DE MIRAFL</v>
          </cell>
          <cell r="P162" t="str">
            <v>2024.08.22</v>
          </cell>
          <cell r="Q162">
            <v>1646996</v>
          </cell>
          <cell r="R162" t="str">
            <v>PRESENTACION DE LA DEMANDA</v>
          </cell>
          <cell r="S162">
            <v>976.67</v>
          </cell>
        </row>
        <row r="163">
          <cell r="E163" t="str">
            <v>107099101002127368</v>
          </cell>
          <cell r="F163" t="str">
            <v>SANTILLAN CABAÑAS, JUAN CARLOS</v>
          </cell>
          <cell r="G163" t="str">
            <v xml:space="preserve">-  </v>
          </cell>
          <cell r="H163">
            <v>0</v>
          </cell>
          <cell r="I163" t="str">
            <v>-</v>
          </cell>
          <cell r="J163">
            <v>0</v>
          </cell>
          <cell r="K163" t="str">
            <v>NO</v>
          </cell>
          <cell r="L163">
            <v>0</v>
          </cell>
          <cell r="M163">
            <v>0</v>
          </cell>
          <cell r="N163" t="str">
            <v>00103-2026-5-1825-JP-CO-03</v>
          </cell>
          <cell r="O163" t="str">
            <v>3° JUZGADO DE PAZ LETRADO (SED</v>
          </cell>
          <cell r="P163" t="str">
            <v>2026.03.31</v>
          </cell>
          <cell r="Q163">
            <v>52126.3</v>
          </cell>
          <cell r="R163" t="str">
            <v>PRESENTACION DE LA DEMANDA</v>
          </cell>
          <cell r="S163">
            <v>47978.51</v>
          </cell>
        </row>
        <row r="164">
          <cell r="E164" t="str">
            <v>107099101001567860</v>
          </cell>
          <cell r="F164" t="str">
            <v>SOCUALAYA VICENTE, DENIS MARLON</v>
          </cell>
          <cell r="G164" t="str">
            <v>002</v>
          </cell>
          <cell r="H164">
            <v>12</v>
          </cell>
          <cell r="I164" t="str">
            <v>2026.07.29</v>
          </cell>
          <cell r="J164">
            <v>941.28</v>
          </cell>
          <cell r="K164" t="str">
            <v>SI</v>
          </cell>
          <cell r="L164">
            <v>0</v>
          </cell>
          <cell r="M164">
            <v>20006.59</v>
          </cell>
          <cell r="N164" t="str">
            <v>00035-2023-93-3005-JP-CO-01</v>
          </cell>
          <cell r="O164" t="str">
            <v xml:space="preserve">JUZGADO PAZ LETRADO - CIVIL   </v>
          </cell>
          <cell r="P164" t="str">
            <v>2023.11.20</v>
          </cell>
          <cell r="Q164">
            <v>23349.85</v>
          </cell>
          <cell r="R164" t="str">
            <v>PRESENTACION DE LA DEMANDA</v>
          </cell>
          <cell r="S164">
            <v>5080.3599999999997</v>
          </cell>
        </row>
        <row r="165">
          <cell r="E165" t="str">
            <v>107099101001186714</v>
          </cell>
          <cell r="F165" t="str">
            <v>SOLIER GUTIERREZ, ADIMER</v>
          </cell>
          <cell r="G165" t="str">
            <v>006</v>
          </cell>
          <cell r="H165">
            <v>12</v>
          </cell>
          <cell r="I165" t="str">
            <v>2026.07.15</v>
          </cell>
          <cell r="J165">
            <v>300</v>
          </cell>
          <cell r="K165" t="str">
            <v>SI</v>
          </cell>
          <cell r="L165">
            <v>0</v>
          </cell>
          <cell r="M165">
            <v>17495.419999999998</v>
          </cell>
          <cell r="N165" t="str">
            <v>00485-2023-12-3005-JP-CI-01</v>
          </cell>
          <cell r="O165" t="str">
            <v xml:space="preserve">JUZGADO PAZ LETRADO - CIVIL   </v>
          </cell>
          <cell r="P165" t="str">
            <v>2023.06.26</v>
          </cell>
          <cell r="Q165">
            <v>15198.45</v>
          </cell>
          <cell r="R165" t="str">
            <v>PRESENTACION DE LA DEMANDA</v>
          </cell>
          <cell r="S165">
            <v>6359.2</v>
          </cell>
        </row>
        <row r="166">
          <cell r="E166" t="str">
            <v>107099101002111096</v>
          </cell>
          <cell r="F166" t="str">
            <v>SOTO CABAÑAS, JEAN PIERRE</v>
          </cell>
          <cell r="G166" t="str">
            <v xml:space="preserve">-  </v>
          </cell>
          <cell r="H166">
            <v>0</v>
          </cell>
          <cell r="I166" t="str">
            <v>-</v>
          </cell>
          <cell r="J166">
            <v>0</v>
          </cell>
          <cell r="K166" t="str">
            <v>NO</v>
          </cell>
          <cell r="L166">
            <v>0</v>
          </cell>
          <cell r="M166">
            <v>0</v>
          </cell>
          <cell r="N166" t="str">
            <v>00247-2026-98-3002-JP-CI-02</v>
          </cell>
          <cell r="O166" t="str">
            <v>JPL CIVL DE SAN JUAN DE MIRAFL</v>
          </cell>
          <cell r="P166" t="str">
            <v>2026.03.30</v>
          </cell>
          <cell r="Q166">
            <v>31148.23</v>
          </cell>
          <cell r="R166" t="str">
            <v>PRESENTACION DE LA DEMANDA</v>
          </cell>
          <cell r="S166">
            <v>26753.29</v>
          </cell>
        </row>
        <row r="167">
          <cell r="E167" t="str">
            <v>107099101002224944</v>
          </cell>
          <cell r="F167" t="str">
            <v>SOTO CABAÑAS, JEAN PIERRE</v>
          </cell>
          <cell r="G167" t="str">
            <v xml:space="preserve">-  </v>
          </cell>
          <cell r="H167">
            <v>0</v>
          </cell>
          <cell r="I167" t="str">
            <v>-</v>
          </cell>
          <cell r="J167">
            <v>0</v>
          </cell>
          <cell r="K167" t="str">
            <v>NO</v>
          </cell>
          <cell r="L167">
            <v>0</v>
          </cell>
          <cell r="M167">
            <v>0</v>
          </cell>
          <cell r="N167" t="str">
            <v>00247-2026-98-3002-JP-CI-02</v>
          </cell>
          <cell r="O167" t="str">
            <v>JPL CIVL DE SAN JUAN DE MIRAFL</v>
          </cell>
          <cell r="P167" t="str">
            <v>2026.03.30</v>
          </cell>
          <cell r="Q167">
            <v>31148.23</v>
          </cell>
          <cell r="R167" t="str">
            <v>PRESENTACION DE LA DEMANDA</v>
          </cell>
          <cell r="S167">
            <v>27822.85</v>
          </cell>
        </row>
        <row r="168">
          <cell r="E168" t="str">
            <v>107099101001990072</v>
          </cell>
          <cell r="F168" t="str">
            <v>YANCCE CARHUAPOMA, MONICA SOFIA</v>
          </cell>
          <cell r="G168" t="str">
            <v>006</v>
          </cell>
          <cell r="H168">
            <v>12</v>
          </cell>
          <cell r="I168" t="str">
            <v>2026.07.30</v>
          </cell>
          <cell r="J168">
            <v>999.94</v>
          </cell>
          <cell r="K168" t="str">
            <v>SI</v>
          </cell>
          <cell r="L168">
            <v>0</v>
          </cell>
          <cell r="M168">
            <v>62013.63</v>
          </cell>
          <cell r="N168" t="str">
            <v>14274-2025-95-1828-JR-CO-05</v>
          </cell>
          <cell r="O168" t="str">
            <v xml:space="preserve">3° JUZ CIVIL COMERCIAL        </v>
          </cell>
          <cell r="P168" t="str">
            <v>2025.06.27</v>
          </cell>
          <cell r="Q168">
            <v>48000</v>
          </cell>
          <cell r="R168" t="str">
            <v>PRESENTACION DE LA DEMANDA</v>
          </cell>
          <cell r="S168">
            <v>29455.279999999999</v>
          </cell>
        </row>
        <row r="169">
          <cell r="E169" t="str">
            <v>107146101001154209</v>
          </cell>
          <cell r="F169" t="str">
            <v>AGUIRRE OJEDA, DIEGO FERNANDO</v>
          </cell>
          <cell r="G169" t="str">
            <v xml:space="preserve">-  </v>
          </cell>
          <cell r="H169">
            <v>0</v>
          </cell>
          <cell r="I169" t="str">
            <v>-</v>
          </cell>
          <cell r="J169">
            <v>0</v>
          </cell>
          <cell r="K169" t="str">
            <v>NO</v>
          </cell>
          <cell r="L169">
            <v>0</v>
          </cell>
          <cell r="M169">
            <v>0</v>
          </cell>
          <cell r="N169" t="str">
            <v>21509-2025-0-1828-JR-CO-07</v>
          </cell>
          <cell r="O169" t="str">
            <v xml:space="preserve">7MO JUZGADO CIVIL COMERCIAL   </v>
          </cell>
          <cell r="P169" t="str">
            <v>2025.09.18</v>
          </cell>
          <cell r="Q169">
            <v>54918.96</v>
          </cell>
          <cell r="R169" t="str">
            <v>PRESENTACION DE LA DEMANDA</v>
          </cell>
          <cell r="S169">
            <v>48873.919999999998</v>
          </cell>
        </row>
        <row r="170">
          <cell r="E170" t="str">
            <v>107146101001077930</v>
          </cell>
          <cell r="F170" t="str">
            <v>BARACCO HUARCAYA, RENZO</v>
          </cell>
          <cell r="G170" t="str">
            <v xml:space="preserve">-  </v>
          </cell>
          <cell r="H170">
            <v>0</v>
          </cell>
          <cell r="I170" t="str">
            <v>-</v>
          </cell>
          <cell r="J170">
            <v>0</v>
          </cell>
          <cell r="K170" t="str">
            <v>NO</v>
          </cell>
          <cell r="L170">
            <v>0</v>
          </cell>
          <cell r="M170">
            <v>0</v>
          </cell>
          <cell r="N170" t="str">
            <v>00473-2024-0-3002-JP-CI-02</v>
          </cell>
          <cell r="O170" t="str">
            <v xml:space="preserve">JPL CIVIL DE SJM              </v>
          </cell>
          <cell r="P170" t="str">
            <v>2024.06.05</v>
          </cell>
          <cell r="Q170">
            <v>18081.12</v>
          </cell>
          <cell r="R170" t="str">
            <v>PRESENTACION DE LA DEMANDA</v>
          </cell>
          <cell r="S170">
            <v>17111.09</v>
          </cell>
        </row>
        <row r="171">
          <cell r="E171" t="str">
            <v>107205101000134674</v>
          </cell>
          <cell r="F171" t="str">
            <v>BARTRA MULLUHUARA, ERLIN LAYONNELL</v>
          </cell>
          <cell r="G171" t="str">
            <v xml:space="preserve">-  </v>
          </cell>
          <cell r="H171">
            <v>0</v>
          </cell>
          <cell r="I171" t="str">
            <v>-</v>
          </cell>
          <cell r="J171">
            <v>0</v>
          </cell>
          <cell r="K171" t="str">
            <v>NO</v>
          </cell>
          <cell r="L171">
            <v>0</v>
          </cell>
          <cell r="M171">
            <v>0</v>
          </cell>
          <cell r="N171" t="str">
            <v>23409-2025-0-1828-JR-CO-04</v>
          </cell>
          <cell r="O171" t="str">
            <v xml:space="preserve">4ª J. CIVIL - COMERCIAL       </v>
          </cell>
          <cell r="P171" t="str">
            <v>2025.09.30</v>
          </cell>
          <cell r="Q171">
            <v>80451.460000000006</v>
          </cell>
          <cell r="R171" t="str">
            <v>PRESENTACION DE LA DEMANDA</v>
          </cell>
          <cell r="S171">
            <v>68000</v>
          </cell>
        </row>
        <row r="172">
          <cell r="E172" t="str">
            <v>107051101002657514</v>
          </cell>
          <cell r="F172" t="str">
            <v>CAMPOS CUELLAR, CIRO CALLS</v>
          </cell>
          <cell r="G172" t="str">
            <v xml:space="preserve">-  </v>
          </cell>
          <cell r="H172">
            <v>0</v>
          </cell>
          <cell r="I172" t="str">
            <v>-</v>
          </cell>
          <cell r="J172">
            <v>0</v>
          </cell>
          <cell r="K172" t="str">
            <v>NO</v>
          </cell>
          <cell r="L172">
            <v>0</v>
          </cell>
          <cell r="M172">
            <v>0</v>
          </cell>
          <cell r="N172" t="str">
            <v>23408-2025-0-1828-JR-CO-05</v>
          </cell>
          <cell r="O172" t="str">
            <v>5º JUZGADO CIVIL -  COMERCIAL</v>
          </cell>
          <cell r="P172" t="str">
            <v>2025.09.30</v>
          </cell>
          <cell r="Q172">
            <v>91379.69</v>
          </cell>
          <cell r="R172" t="str">
            <v>PRESENTACION DE LA DEMANDA</v>
          </cell>
          <cell r="S172">
            <v>83920.320000000007</v>
          </cell>
        </row>
        <row r="173">
          <cell r="E173" t="str">
            <v>107146101001121100</v>
          </cell>
          <cell r="F173" t="str">
            <v>CHIPANA CRISTOBAL VDA DE CRUZ, IRENE PELAYA</v>
          </cell>
          <cell r="G173" t="str">
            <v>001</v>
          </cell>
          <cell r="H173">
            <v>12</v>
          </cell>
          <cell r="I173" t="str">
            <v>2025.12.28</v>
          </cell>
          <cell r="J173">
            <v>299.99</v>
          </cell>
          <cell r="K173" t="str">
            <v>NO</v>
          </cell>
          <cell r="L173">
            <v>185</v>
          </cell>
          <cell r="M173">
            <v>6999.27</v>
          </cell>
          <cell r="N173" t="str">
            <v>04395-2025-75-1866-JP-CI-03</v>
          </cell>
          <cell r="O173" t="str">
            <v>3° JPL - BARRANCO - MIRAFLORES</v>
          </cell>
          <cell r="P173" t="str">
            <v>2025.09.18</v>
          </cell>
          <cell r="Q173">
            <v>53009.54</v>
          </cell>
          <cell r="R173" t="str">
            <v>PRESENTACION DE LA DEMANDA</v>
          </cell>
          <cell r="S173">
            <v>37186.61</v>
          </cell>
        </row>
        <row r="174">
          <cell r="E174" t="str">
            <v>107146101000306655</v>
          </cell>
          <cell r="F174" t="str">
            <v>COMERCIAL JE &amp; LU E.I.R.L.</v>
          </cell>
          <cell r="G174" t="str">
            <v xml:space="preserve">-  </v>
          </cell>
          <cell r="H174">
            <v>0</v>
          </cell>
          <cell r="I174" t="str">
            <v>-</v>
          </cell>
          <cell r="J174">
            <v>0</v>
          </cell>
          <cell r="K174" t="str">
            <v>NO</v>
          </cell>
          <cell r="L174">
            <v>0</v>
          </cell>
          <cell r="M174">
            <v>0</v>
          </cell>
          <cell r="N174" t="str">
            <v>08915-2023-83-1817-JR-CO-11</v>
          </cell>
          <cell r="O174" t="str">
            <v xml:space="preserve">11° JUZGADO CIVIL - COMERCIAL </v>
          </cell>
          <cell r="P174" t="str">
            <v>2023.05.04</v>
          </cell>
          <cell r="Q174">
            <v>161008.69</v>
          </cell>
          <cell r="R174" t="str">
            <v>PRESENTACION DE LA DEMANDA</v>
          </cell>
          <cell r="S174">
            <v>120000</v>
          </cell>
        </row>
        <row r="175">
          <cell r="E175" t="str">
            <v>107146101000605085</v>
          </cell>
          <cell r="F175" t="str">
            <v>CUYA GONZALES, ANGEL EDUARDO</v>
          </cell>
          <cell r="G175" t="str">
            <v xml:space="preserve">-  </v>
          </cell>
          <cell r="H175">
            <v>0</v>
          </cell>
          <cell r="I175" t="str">
            <v>-</v>
          </cell>
          <cell r="J175">
            <v>0</v>
          </cell>
          <cell r="K175" t="str">
            <v>NO</v>
          </cell>
          <cell r="L175">
            <v>0</v>
          </cell>
          <cell r="M175">
            <v>0</v>
          </cell>
          <cell r="N175" t="str">
            <v>01150-2023-48-1801-JP-CI-10</v>
          </cell>
          <cell r="O175" t="str">
            <v xml:space="preserve">JUZGADO 10 - LIMA             </v>
          </cell>
          <cell r="P175" t="str">
            <v>2023.03.28</v>
          </cell>
          <cell r="Q175">
            <v>10681.77</v>
          </cell>
          <cell r="R175" t="str">
            <v>PRESENTACION DE LA DEMANDA</v>
          </cell>
          <cell r="S175">
            <v>5800.53</v>
          </cell>
        </row>
        <row r="176">
          <cell r="E176" t="str">
            <v>107146101000610415</v>
          </cell>
          <cell r="F176" t="str">
            <v>CUYA VEGA, RUBEN</v>
          </cell>
          <cell r="G176" t="str">
            <v xml:space="preserve">-  </v>
          </cell>
          <cell r="H176">
            <v>0</v>
          </cell>
          <cell r="I176" t="str">
            <v>-</v>
          </cell>
          <cell r="J176">
            <v>0</v>
          </cell>
          <cell r="K176" t="str">
            <v>NO</v>
          </cell>
          <cell r="L176">
            <v>0</v>
          </cell>
          <cell r="M176">
            <v>0</v>
          </cell>
          <cell r="N176" t="str">
            <v>00972-2023-87-1801-JP-CI-10</v>
          </cell>
          <cell r="O176" t="str">
            <v xml:space="preserve">JUZGADO 10 - LIMA             </v>
          </cell>
          <cell r="P176" t="str">
            <v>2023.03.16</v>
          </cell>
          <cell r="Q176">
            <v>30327.81</v>
          </cell>
          <cell r="R176" t="str">
            <v>PRESENTACION DE LA DEMANDA</v>
          </cell>
          <cell r="S176">
            <v>4554.99</v>
          </cell>
        </row>
        <row r="177">
          <cell r="E177" t="str">
            <v>107146101000664456</v>
          </cell>
          <cell r="F177" t="str">
            <v>CUYA VEGA, RUBEN</v>
          </cell>
          <cell r="G177" t="str">
            <v xml:space="preserve">-  </v>
          </cell>
          <cell r="H177">
            <v>0</v>
          </cell>
          <cell r="I177" t="str">
            <v>-</v>
          </cell>
          <cell r="J177">
            <v>0</v>
          </cell>
          <cell r="K177" t="str">
            <v>NO</v>
          </cell>
          <cell r="L177">
            <v>0</v>
          </cell>
          <cell r="M177">
            <v>0</v>
          </cell>
          <cell r="N177" t="str">
            <v>00972-2023-87-1801-JP-CI-10</v>
          </cell>
          <cell r="O177" t="str">
            <v xml:space="preserve">JUZGADO 10 - LIMA             </v>
          </cell>
          <cell r="P177" t="str">
            <v>2023.03.16</v>
          </cell>
          <cell r="Q177">
            <v>30327.81</v>
          </cell>
          <cell r="R177" t="str">
            <v>PRESENTACION DE LA DEMANDA</v>
          </cell>
          <cell r="S177">
            <v>15873.02</v>
          </cell>
        </row>
        <row r="178">
          <cell r="E178" t="str">
            <v>107146101001246362</v>
          </cell>
          <cell r="F178" t="str">
            <v>DISTRIBUIDORA INFINITY PRODUCTS S.A.C.</v>
          </cell>
          <cell r="G178" t="str">
            <v xml:space="preserve">-  </v>
          </cell>
          <cell r="H178">
            <v>0</v>
          </cell>
          <cell r="I178" t="str">
            <v>-</v>
          </cell>
          <cell r="J178">
            <v>0</v>
          </cell>
          <cell r="K178" t="str">
            <v>NO</v>
          </cell>
          <cell r="L178">
            <v>0</v>
          </cell>
          <cell r="M178">
            <v>0</v>
          </cell>
          <cell r="N178" t="str">
            <v>00949-2026-44-1866-JP-CI-03</v>
          </cell>
          <cell r="O178" t="str">
            <v>3° JPL - BARRANCO - MIRAFLORES</v>
          </cell>
          <cell r="P178" t="str">
            <v>2026.02.22</v>
          </cell>
          <cell r="Q178">
            <v>44814.64</v>
          </cell>
          <cell r="R178" t="str">
            <v>PRESENTACION DE LA DEMANDA</v>
          </cell>
          <cell r="S178">
            <v>39000</v>
          </cell>
        </row>
        <row r="179">
          <cell r="E179" t="str">
            <v>107146101000293935</v>
          </cell>
          <cell r="F179" t="str">
            <v>DURAN MOSCOSO, EMILIO</v>
          </cell>
          <cell r="G179" t="str">
            <v xml:space="preserve">-  </v>
          </cell>
          <cell r="H179">
            <v>0</v>
          </cell>
          <cell r="I179" t="str">
            <v>-</v>
          </cell>
          <cell r="J179">
            <v>0</v>
          </cell>
          <cell r="K179" t="str">
            <v>NO</v>
          </cell>
          <cell r="L179">
            <v>0</v>
          </cell>
          <cell r="M179">
            <v>0</v>
          </cell>
          <cell r="N179" t="str">
            <v>13365-2023-61-1817-JR-CO-02</v>
          </cell>
          <cell r="O179" t="str">
            <v xml:space="preserve">2° JUZGADO CIVIL - COMERCIAL  </v>
          </cell>
          <cell r="P179" t="str">
            <v>2023.06.28</v>
          </cell>
          <cell r="Q179">
            <v>87067.94</v>
          </cell>
          <cell r="R179" t="str">
            <v>PRESENTACION DE LA DEMANDA</v>
          </cell>
          <cell r="S179">
            <v>29710.87</v>
          </cell>
        </row>
        <row r="180">
          <cell r="E180" t="str">
            <v>107146101001159325</v>
          </cell>
          <cell r="F180" t="str">
            <v>FM FRIMARQ CONSTRUCCIONES S.A.C.</v>
          </cell>
          <cell r="G180" t="str">
            <v>001</v>
          </cell>
          <cell r="H180">
            <v>12</v>
          </cell>
          <cell r="I180" t="str">
            <v>2026.07.16</v>
          </cell>
          <cell r="J180">
            <v>1466.63</v>
          </cell>
          <cell r="K180" t="str">
            <v>SI</v>
          </cell>
          <cell r="L180">
            <v>0</v>
          </cell>
          <cell r="M180">
            <v>29490.54</v>
          </cell>
          <cell r="N180" t="str">
            <v>00000-2026</v>
          </cell>
          <cell r="O180" t="str">
            <v>3° JPL - BARRANCO - MIRAFLORES</v>
          </cell>
          <cell r="P180" t="str">
            <v/>
          </cell>
          <cell r="Q180">
            <v>0</v>
          </cell>
          <cell r="R180" t="str">
            <v>PRESENTACION DE LA DEMANDA</v>
          </cell>
          <cell r="S180">
            <v>15378.53</v>
          </cell>
        </row>
        <row r="181">
          <cell r="E181" t="str">
            <v>107146101000826096</v>
          </cell>
          <cell r="F181" t="str">
            <v>HUANCA GREGORIO, ANGELINA YOVANA</v>
          </cell>
          <cell r="G181" t="str">
            <v xml:space="preserve">-  </v>
          </cell>
          <cell r="H181">
            <v>0</v>
          </cell>
          <cell r="I181" t="str">
            <v>-</v>
          </cell>
          <cell r="J181">
            <v>0</v>
          </cell>
          <cell r="K181" t="str">
            <v>NO</v>
          </cell>
          <cell r="L181">
            <v>0</v>
          </cell>
          <cell r="M181">
            <v>0</v>
          </cell>
          <cell r="N181" t="str">
            <v>08632-2024-71-1828-JR-CO-11</v>
          </cell>
          <cell r="O181" t="str">
            <v xml:space="preserve">11° JUZGADO CIVIL - COMERCIAL </v>
          </cell>
          <cell r="P181" t="str">
            <v>2024.03.06</v>
          </cell>
          <cell r="Q181">
            <v>89275.09</v>
          </cell>
          <cell r="R181" t="str">
            <v>PRESENTACION DE LA DEMANDA</v>
          </cell>
          <cell r="S181">
            <v>29481.27</v>
          </cell>
        </row>
        <row r="182">
          <cell r="E182" t="str">
            <v>107146101001026962</v>
          </cell>
          <cell r="F182" t="str">
            <v>HUANCA GREGORIO, ANGELINA YOVANA</v>
          </cell>
          <cell r="G182" t="str">
            <v xml:space="preserve">-  </v>
          </cell>
          <cell r="H182">
            <v>0</v>
          </cell>
          <cell r="I182" t="str">
            <v>-</v>
          </cell>
          <cell r="J182">
            <v>0</v>
          </cell>
          <cell r="K182" t="str">
            <v>NO</v>
          </cell>
          <cell r="L182">
            <v>0</v>
          </cell>
          <cell r="M182">
            <v>0</v>
          </cell>
          <cell r="N182" t="str">
            <v>08632-2024-71-1828-JR-CO-11</v>
          </cell>
          <cell r="O182" t="str">
            <v xml:space="preserve">11° JUZGADO CIVIL - COMERCIAL </v>
          </cell>
          <cell r="P182" t="str">
            <v>2024.03.06</v>
          </cell>
          <cell r="Q182">
            <v>89275.09</v>
          </cell>
          <cell r="R182" t="str">
            <v>PRESENTACION DE LA DEMANDA</v>
          </cell>
          <cell r="S182">
            <v>32092.06</v>
          </cell>
        </row>
        <row r="183">
          <cell r="E183" t="str">
            <v>107146101001060930</v>
          </cell>
          <cell r="F183" t="str">
            <v>MARICH SOLIZOR, WILDER</v>
          </cell>
          <cell r="G183" t="str">
            <v xml:space="preserve">-  </v>
          </cell>
          <cell r="H183">
            <v>0</v>
          </cell>
          <cell r="I183" t="str">
            <v>-</v>
          </cell>
          <cell r="J183">
            <v>0</v>
          </cell>
          <cell r="K183" t="str">
            <v>NO</v>
          </cell>
          <cell r="L183">
            <v>0</v>
          </cell>
          <cell r="M183">
            <v>0</v>
          </cell>
          <cell r="N183" t="str">
            <v>03488-2026-57-1828-JR-CO-11</v>
          </cell>
          <cell r="O183" t="str">
            <v xml:space="preserve">11° JUZGADO CIVIL - COMERCIAL </v>
          </cell>
          <cell r="P183" t="str">
            <v>2026.01.29</v>
          </cell>
          <cell r="Q183">
            <v>89154.1</v>
          </cell>
          <cell r="R183" t="str">
            <v>PRESENTACION DE LA DEMANDA</v>
          </cell>
          <cell r="S183">
            <v>80431.960000000006</v>
          </cell>
        </row>
        <row r="184">
          <cell r="E184" t="str">
            <v>107146101001193640</v>
          </cell>
          <cell r="F184" t="str">
            <v>MATOS SEBASTIAN, KETH DELCE</v>
          </cell>
          <cell r="G184" t="str">
            <v xml:space="preserve">-  </v>
          </cell>
          <cell r="H184">
            <v>0</v>
          </cell>
          <cell r="I184" t="str">
            <v>-</v>
          </cell>
          <cell r="J184">
            <v>0</v>
          </cell>
          <cell r="K184" t="str">
            <v>NO</v>
          </cell>
          <cell r="L184">
            <v>0</v>
          </cell>
          <cell r="M184">
            <v>0</v>
          </cell>
          <cell r="N184" t="str">
            <v>00122-2026-33-3001-JP-CI-01</v>
          </cell>
          <cell r="O184" t="str">
            <v>JPLC DE VMT</v>
          </cell>
          <cell r="P184" t="str">
            <v>2026.02.17</v>
          </cell>
          <cell r="Q184">
            <v>22647.84</v>
          </cell>
          <cell r="R184" t="str">
            <v>PRESENTACION DE LA DEMANDA</v>
          </cell>
          <cell r="S184">
            <v>19669.599999999999</v>
          </cell>
        </row>
        <row r="185">
          <cell r="E185" t="str">
            <v>107146101001328181</v>
          </cell>
          <cell r="F185" t="str">
            <v>MESIAS DEL AGUILA, JESSICA JACQUELINE</v>
          </cell>
          <cell r="G185" t="str">
            <v xml:space="preserve">-  </v>
          </cell>
          <cell r="H185">
            <v>0</v>
          </cell>
          <cell r="I185" t="str">
            <v>-</v>
          </cell>
          <cell r="J185">
            <v>0</v>
          </cell>
          <cell r="K185" t="str">
            <v>NO</v>
          </cell>
          <cell r="L185">
            <v>0</v>
          </cell>
          <cell r="M185">
            <v>0</v>
          </cell>
          <cell r="N185" t="str">
            <v>01599-2026-59-1866-JP-CI-03</v>
          </cell>
          <cell r="O185" t="str">
            <v>3° JPL - BARRANCO - MIRAFLORES</v>
          </cell>
          <cell r="P185" t="str">
            <v>2026.05.06</v>
          </cell>
          <cell r="Q185">
            <v>29241.31</v>
          </cell>
          <cell r="R185" t="str">
            <v>PRESENTACION DE LA DEMANDA</v>
          </cell>
          <cell r="S185">
            <v>26572.57</v>
          </cell>
        </row>
        <row r="186">
          <cell r="E186" t="str">
            <v>107146101001123916</v>
          </cell>
          <cell r="F186" t="str">
            <v>PEREZ NICOLAS, DIONICIO ESTANISLAO</v>
          </cell>
          <cell r="G186" t="str">
            <v xml:space="preserve">-  </v>
          </cell>
          <cell r="H186">
            <v>0</v>
          </cell>
          <cell r="I186" t="str">
            <v>-</v>
          </cell>
          <cell r="J186">
            <v>0</v>
          </cell>
          <cell r="K186" t="str">
            <v>NO</v>
          </cell>
          <cell r="L186">
            <v>0</v>
          </cell>
          <cell r="M186">
            <v>0</v>
          </cell>
          <cell r="N186" t="str">
            <v xml:space="preserve">          </v>
          </cell>
          <cell r="O186" t="str">
            <v/>
          </cell>
          <cell r="P186" t="str">
            <v/>
          </cell>
          <cell r="Q186">
            <v>0</v>
          </cell>
          <cell r="R186" t="str">
            <v/>
          </cell>
          <cell r="S186">
            <v>17780.400000000001</v>
          </cell>
        </row>
        <row r="187">
          <cell r="E187" t="str">
            <v>107146101001209858</v>
          </cell>
          <cell r="F187" t="str">
            <v>QUINTANA MARIN, LUZLINDA VICTORIA</v>
          </cell>
          <cell r="G187" t="str">
            <v xml:space="preserve">-  </v>
          </cell>
          <cell r="H187">
            <v>0</v>
          </cell>
          <cell r="I187" t="str">
            <v>-</v>
          </cell>
          <cell r="J187">
            <v>0</v>
          </cell>
          <cell r="K187" t="str">
            <v>NO</v>
          </cell>
          <cell r="L187">
            <v>0</v>
          </cell>
          <cell r="M187">
            <v>0</v>
          </cell>
          <cell r="N187" t="str">
            <v>00999-2025-50-3002-JP-CI-02</v>
          </cell>
          <cell r="O187" t="str">
            <v xml:space="preserve">JPL CIVIL DE SJM              </v>
          </cell>
          <cell r="P187" t="str">
            <v>2025.12.30</v>
          </cell>
          <cell r="Q187">
            <v>38969.370000000003</v>
          </cell>
          <cell r="R187" t="str">
            <v>PRESENTACION DE LA DEMANDA</v>
          </cell>
          <cell r="S187">
            <v>35046.97</v>
          </cell>
        </row>
        <row r="188">
          <cell r="E188" t="str">
            <v>107146101001074341</v>
          </cell>
          <cell r="F188" t="str">
            <v>RAMIREZ MORI, VIVIANA ESTHER</v>
          </cell>
          <cell r="G188" t="str">
            <v xml:space="preserve">-  </v>
          </cell>
          <cell r="H188">
            <v>0</v>
          </cell>
          <cell r="I188" t="str">
            <v>-</v>
          </cell>
          <cell r="J188">
            <v>0</v>
          </cell>
          <cell r="K188" t="str">
            <v>NO</v>
          </cell>
          <cell r="L188">
            <v>0</v>
          </cell>
          <cell r="M188">
            <v>0</v>
          </cell>
          <cell r="N188" t="str">
            <v>34948-2024-79-1828-JR-CO-04</v>
          </cell>
          <cell r="O188" t="str">
            <v xml:space="preserve">4ª J. CIVIL - COMERCIAL       </v>
          </cell>
          <cell r="P188" t="str">
            <v>2024.11.19</v>
          </cell>
          <cell r="Q188">
            <v>55571.75</v>
          </cell>
          <cell r="R188" t="str">
            <v>PRESENTACION DE LA DEMANDA</v>
          </cell>
          <cell r="S188">
            <v>50756.85</v>
          </cell>
        </row>
        <row r="189">
          <cell r="E189" t="str">
            <v>107146101001188179</v>
          </cell>
          <cell r="F189" t="str">
            <v>TIMOTEO RIVERA, ZARA VIDICA</v>
          </cell>
          <cell r="G189" t="str">
            <v xml:space="preserve">-  </v>
          </cell>
          <cell r="H189">
            <v>0</v>
          </cell>
          <cell r="I189" t="str">
            <v>-</v>
          </cell>
          <cell r="J189">
            <v>0</v>
          </cell>
          <cell r="K189" t="str">
            <v>NO</v>
          </cell>
          <cell r="L189">
            <v>0</v>
          </cell>
          <cell r="M189">
            <v>0</v>
          </cell>
          <cell r="N189" t="str">
            <v>03045-2025-40-1866-JP-CI-03</v>
          </cell>
          <cell r="O189" t="str">
            <v>3° JPL - BARRANCO - MIRAFLORES</v>
          </cell>
          <cell r="P189" t="str">
            <v>2025.07.24</v>
          </cell>
          <cell r="Q189">
            <v>39009.410000000003</v>
          </cell>
          <cell r="R189" t="str">
            <v>PRESENTACION DE LA DEMANDA</v>
          </cell>
          <cell r="S189">
            <v>37001.67</v>
          </cell>
        </row>
        <row r="190">
          <cell r="E190" t="str">
            <v>107147101000962278</v>
          </cell>
          <cell r="F190" t="str">
            <v>ALEJO SALVADOR, WALTER</v>
          </cell>
          <cell r="G190" t="str">
            <v xml:space="preserve">-  </v>
          </cell>
          <cell r="H190">
            <v>0</v>
          </cell>
          <cell r="I190" t="str">
            <v>-</v>
          </cell>
          <cell r="J190">
            <v>0</v>
          </cell>
          <cell r="K190" t="str">
            <v>NO</v>
          </cell>
          <cell r="L190">
            <v>0</v>
          </cell>
          <cell r="M190">
            <v>0</v>
          </cell>
          <cell r="N190" t="str">
            <v>01391-2025-0-1820-JP-CI-03</v>
          </cell>
          <cell r="O190" t="str">
            <v>3° JPL (SEDE LINCE-SAN ISIDRO)</v>
          </cell>
          <cell r="P190" t="str">
            <v>2025.08.29</v>
          </cell>
          <cell r="Q190">
            <v>29560.62</v>
          </cell>
          <cell r="R190" t="str">
            <v>PRESENTACION DE LA DEMANDA</v>
          </cell>
          <cell r="S190">
            <v>25000</v>
          </cell>
        </row>
        <row r="191">
          <cell r="E191" t="str">
            <v>107147101000922921</v>
          </cell>
          <cell r="F191" t="str">
            <v>ANCHILLO MORALES, LUCINDA</v>
          </cell>
          <cell r="G191" t="str">
            <v xml:space="preserve">-  </v>
          </cell>
          <cell r="H191">
            <v>0</v>
          </cell>
          <cell r="I191" t="str">
            <v>-</v>
          </cell>
          <cell r="J191">
            <v>0</v>
          </cell>
          <cell r="K191" t="str">
            <v>NO</v>
          </cell>
          <cell r="L191">
            <v>0</v>
          </cell>
          <cell r="M191">
            <v>0</v>
          </cell>
          <cell r="N191" t="str">
            <v>05080-2024-2-1866-JP-CI-02</v>
          </cell>
          <cell r="O191" t="str">
            <v>2° JPL (SEDE BARRANCO-MIRAFLOR</v>
          </cell>
          <cell r="P191" t="str">
            <v>2024.10.30</v>
          </cell>
          <cell r="Q191">
            <v>31681.11</v>
          </cell>
          <cell r="R191" t="str">
            <v>PRESENTACION DE LA DEMANDA</v>
          </cell>
          <cell r="S191">
            <v>23497.75</v>
          </cell>
        </row>
        <row r="192">
          <cell r="E192" t="str">
            <v>107147101000528783</v>
          </cell>
          <cell r="F192" t="str">
            <v>ASTO BARRA, EDGAR</v>
          </cell>
          <cell r="G192" t="str">
            <v xml:space="preserve">-  </v>
          </cell>
          <cell r="H192">
            <v>0</v>
          </cell>
          <cell r="I192" t="str">
            <v>-</v>
          </cell>
          <cell r="J192">
            <v>0</v>
          </cell>
          <cell r="K192" t="str">
            <v>NO</v>
          </cell>
          <cell r="L192">
            <v>0</v>
          </cell>
          <cell r="M192">
            <v>0</v>
          </cell>
          <cell r="N192" t="str">
            <v>16692-2024-88-1828-JR-CO-15</v>
          </cell>
          <cell r="O192" t="str">
            <v xml:space="preserve">15° JUZGADO CIVIL - COMERCIAL </v>
          </cell>
          <cell r="P192" t="str">
            <v>2024.05.21</v>
          </cell>
          <cell r="Q192">
            <v>59653.05</v>
          </cell>
          <cell r="R192" t="str">
            <v>PRESENTACION DE LA DEMANDA</v>
          </cell>
          <cell r="S192">
            <v>22909.05</v>
          </cell>
        </row>
        <row r="193">
          <cell r="E193" t="str">
            <v>107147101000225339</v>
          </cell>
          <cell r="F193" t="str">
            <v>BS TELECOM PERU S.A.C</v>
          </cell>
          <cell r="G193" t="str">
            <v xml:space="preserve">-  </v>
          </cell>
          <cell r="H193">
            <v>0</v>
          </cell>
          <cell r="I193" t="str">
            <v>-</v>
          </cell>
          <cell r="J193">
            <v>0</v>
          </cell>
          <cell r="K193" t="str">
            <v>NO</v>
          </cell>
          <cell r="L193">
            <v>0</v>
          </cell>
          <cell r="M193">
            <v>0</v>
          </cell>
          <cell r="N193" t="str">
            <v>09271-2023-0-1817-JR-CO-09</v>
          </cell>
          <cell r="O193" t="str">
            <v xml:space="preserve">9 ° JUZGADO CIVIL - COMERCIAL </v>
          </cell>
          <cell r="P193" t="str">
            <v>2023.05.09</v>
          </cell>
          <cell r="Q193">
            <v>58166.6</v>
          </cell>
          <cell r="R193" t="str">
            <v>PRESENTACION DE LA DEMANDA</v>
          </cell>
          <cell r="S193">
            <v>30000</v>
          </cell>
        </row>
        <row r="194">
          <cell r="E194" t="str">
            <v>107147101001237951</v>
          </cell>
          <cell r="F194" t="str">
            <v>CANACHO ZEVALLOS, ROBERTO LULLY</v>
          </cell>
          <cell r="G194" t="str">
            <v xml:space="preserve">-  </v>
          </cell>
          <cell r="H194">
            <v>0</v>
          </cell>
          <cell r="I194" t="str">
            <v>-</v>
          </cell>
          <cell r="J194">
            <v>0</v>
          </cell>
          <cell r="K194" t="str">
            <v>NO</v>
          </cell>
          <cell r="L194">
            <v>0</v>
          </cell>
          <cell r="M194">
            <v>0</v>
          </cell>
          <cell r="N194" t="str">
            <v>05069-2025-22-1866-JP-CI-02</v>
          </cell>
          <cell r="O194" t="str">
            <v>2° JPL (SEDE BARRANCO-MIRAFLOR</v>
          </cell>
          <cell r="P194" t="str">
            <v>2025.10.23</v>
          </cell>
          <cell r="Q194">
            <v>47774.13</v>
          </cell>
          <cell r="R194" t="str">
            <v>PRESENTACION DE LA DEMANDA</v>
          </cell>
          <cell r="S194">
            <v>43422.51</v>
          </cell>
        </row>
        <row r="195">
          <cell r="E195" t="str">
            <v>107147101000210969</v>
          </cell>
          <cell r="F195" t="str">
            <v>CHAVARRIA PONCE, SEGUNDINA MARILUZ</v>
          </cell>
          <cell r="G195" t="str">
            <v>002</v>
          </cell>
          <cell r="H195">
            <v>12</v>
          </cell>
          <cell r="I195" t="str">
            <v>2026.07.25</v>
          </cell>
          <cell r="J195">
            <v>35</v>
          </cell>
          <cell r="K195" t="str">
            <v>SI</v>
          </cell>
          <cell r="L195">
            <v>0</v>
          </cell>
          <cell r="M195">
            <v>1508.7</v>
          </cell>
          <cell r="N195" t="str">
            <v>03828-2023-1-3207-JP-CI-02</v>
          </cell>
          <cell r="O195" t="str">
            <v xml:space="preserve">2° JPL - SJL SEDE ROMA        </v>
          </cell>
          <cell r="P195" t="str">
            <v>2023.07.24</v>
          </cell>
          <cell r="Q195">
            <v>22028.53</v>
          </cell>
          <cell r="R195" t="str">
            <v>PRESENTACION DE LA DEMANDA</v>
          </cell>
          <cell r="S195">
            <v>8770.9699999999993</v>
          </cell>
        </row>
        <row r="196">
          <cell r="E196" t="str">
            <v>107147101000208104</v>
          </cell>
          <cell r="F196" t="str">
            <v>CPS PERU S.A.C.</v>
          </cell>
          <cell r="G196" t="str">
            <v xml:space="preserve">-  </v>
          </cell>
          <cell r="H196">
            <v>0</v>
          </cell>
          <cell r="I196" t="str">
            <v>-</v>
          </cell>
          <cell r="J196">
            <v>0</v>
          </cell>
          <cell r="K196" t="str">
            <v>NO</v>
          </cell>
          <cell r="L196">
            <v>0</v>
          </cell>
          <cell r="M196">
            <v>0</v>
          </cell>
          <cell r="N196" t="str">
            <v>15211-2023-0-1817-JR-CO-08</v>
          </cell>
          <cell r="O196" t="str">
            <v xml:space="preserve">8° JUZGADO CIVIL-COMERCIAL    </v>
          </cell>
          <cell r="P196" t="str">
            <v>2023.07.21</v>
          </cell>
          <cell r="Q196">
            <v>269979.7</v>
          </cell>
          <cell r="R196" t="str">
            <v>PRESENTACION DE LA DEMANDA</v>
          </cell>
          <cell r="S196">
            <v>234991.45</v>
          </cell>
        </row>
        <row r="197">
          <cell r="E197" t="str">
            <v>107147101000202184</v>
          </cell>
          <cell r="F197" t="str">
            <v>DIVERSA HUALLAGA S.A.C.</v>
          </cell>
          <cell r="G197" t="str">
            <v xml:space="preserve">-  </v>
          </cell>
          <cell r="H197">
            <v>0</v>
          </cell>
          <cell r="I197" t="str">
            <v>-</v>
          </cell>
          <cell r="J197">
            <v>0</v>
          </cell>
          <cell r="K197" t="str">
            <v>NO</v>
          </cell>
          <cell r="L197">
            <v>0</v>
          </cell>
          <cell r="M197">
            <v>0</v>
          </cell>
          <cell r="N197" t="str">
            <v>09278-2023-0-1817-JR-CO-15</v>
          </cell>
          <cell r="O197" t="str">
            <v xml:space="preserve">15° JUZGADO CIVIL - COMERCIAL </v>
          </cell>
          <cell r="P197" t="str">
            <v>2023.05.09</v>
          </cell>
          <cell r="Q197">
            <v>135350.06</v>
          </cell>
          <cell r="R197" t="str">
            <v>PRESENTACION DE LA DEMANDA</v>
          </cell>
          <cell r="S197">
            <v>81939.070000000007</v>
          </cell>
        </row>
        <row r="198">
          <cell r="E198" t="str">
            <v>107147101000226603</v>
          </cell>
          <cell r="F198" t="str">
            <v>ESENARRO SEGURA, ROXANA CRISOLOGA</v>
          </cell>
          <cell r="G198" t="str">
            <v>001</v>
          </cell>
          <cell r="H198">
            <v>12</v>
          </cell>
          <cell r="I198" t="str">
            <v>2025.08.17</v>
          </cell>
          <cell r="J198">
            <v>779.99</v>
          </cell>
          <cell r="K198" t="str">
            <v>NO</v>
          </cell>
          <cell r="L198">
            <v>318</v>
          </cell>
          <cell r="M198">
            <v>5660.94</v>
          </cell>
          <cell r="N198" t="str">
            <v>02181-2023-67-3201-JR-CI-01</v>
          </cell>
          <cell r="O198" t="str">
            <v>1° J.CIVIL TRANS.LURIGANCHO-CH</v>
          </cell>
          <cell r="P198" t="str">
            <v>2023.05.25</v>
          </cell>
          <cell r="Q198">
            <v>59543.01</v>
          </cell>
          <cell r="R198" t="str">
            <v>PRESENTACION DE LA DEMANDA</v>
          </cell>
          <cell r="S198">
            <v>10948.46</v>
          </cell>
        </row>
        <row r="199">
          <cell r="E199" t="str">
            <v>107147101001195960</v>
          </cell>
          <cell r="F199" t="str">
            <v>ESPINOZA HUARACA, JHON</v>
          </cell>
          <cell r="G199" t="str">
            <v xml:space="preserve">-  </v>
          </cell>
          <cell r="H199">
            <v>0</v>
          </cell>
          <cell r="I199" t="str">
            <v>-</v>
          </cell>
          <cell r="J199">
            <v>0</v>
          </cell>
          <cell r="K199" t="str">
            <v>NO</v>
          </cell>
          <cell r="L199">
            <v>0</v>
          </cell>
          <cell r="M199">
            <v>0</v>
          </cell>
          <cell r="N199" t="str">
            <v>30980-2025-0-1828-JR-CO-01</v>
          </cell>
          <cell r="O199" t="str">
            <v xml:space="preserve">1° JUZGADO CIVIL - COMERCIAL  </v>
          </cell>
          <cell r="P199" t="str">
            <v>2025.12.29</v>
          </cell>
          <cell r="Q199">
            <v>39712.720000000001</v>
          </cell>
          <cell r="R199" t="str">
            <v>PRESENTACION DE LA DEMANDA</v>
          </cell>
          <cell r="S199">
            <v>35420.300000000003</v>
          </cell>
        </row>
        <row r="200">
          <cell r="E200" t="str">
            <v>107147101001109846</v>
          </cell>
          <cell r="F200" t="str">
            <v>GONZALES LOZANO, RAQUEL</v>
          </cell>
          <cell r="G200" t="str">
            <v xml:space="preserve">-  </v>
          </cell>
          <cell r="H200">
            <v>0</v>
          </cell>
          <cell r="I200" t="str">
            <v>-</v>
          </cell>
          <cell r="J200">
            <v>0</v>
          </cell>
          <cell r="K200" t="str">
            <v>NO</v>
          </cell>
          <cell r="L200">
            <v>0</v>
          </cell>
          <cell r="M200">
            <v>0</v>
          </cell>
          <cell r="N200" t="str">
            <v>02748-2026-66-1828-JR-CO-14</v>
          </cell>
          <cell r="O200" t="str">
            <v xml:space="preserve">14° JUZGADO CIVIL - COMERCIAL </v>
          </cell>
          <cell r="P200" t="str">
            <v>2026.01.23</v>
          </cell>
          <cell r="Q200">
            <v>330308.28999999998</v>
          </cell>
          <cell r="R200" t="str">
            <v>PRESENTACION DE LA DEMANDA</v>
          </cell>
          <cell r="S200">
            <v>57995.39</v>
          </cell>
        </row>
        <row r="201">
          <cell r="E201" t="str">
            <v>107147101001144350</v>
          </cell>
          <cell r="F201" t="str">
            <v>GREEN KEEPER PERU S.A.C.</v>
          </cell>
          <cell r="G201" t="str">
            <v xml:space="preserve">-  </v>
          </cell>
          <cell r="H201">
            <v>0</v>
          </cell>
          <cell r="I201" t="str">
            <v>-</v>
          </cell>
          <cell r="J201">
            <v>0</v>
          </cell>
          <cell r="K201" t="str">
            <v>NO</v>
          </cell>
          <cell r="L201">
            <v>0</v>
          </cell>
          <cell r="M201">
            <v>0</v>
          </cell>
          <cell r="N201" t="str">
            <v>26494-2025-0-1828-JR-CO-10</v>
          </cell>
          <cell r="O201" t="str">
            <v>10° JUZGADO CIVIL - COMERCIAL</v>
          </cell>
          <cell r="P201" t="str">
            <v>2025.10.30</v>
          </cell>
          <cell r="Q201">
            <v>72586.929999999993</v>
          </cell>
          <cell r="R201" t="str">
            <v>PRESENTACION DE LA DEMANDA</v>
          </cell>
          <cell r="S201">
            <v>66853.149999999994</v>
          </cell>
        </row>
        <row r="202">
          <cell r="E202" t="str">
            <v>107147101000924529</v>
          </cell>
          <cell r="F202" t="str">
            <v>GRUPO OREJUELA S.A.C.</v>
          </cell>
          <cell r="G202" t="str">
            <v xml:space="preserve">-  </v>
          </cell>
          <cell r="H202">
            <v>0</v>
          </cell>
          <cell r="I202" t="str">
            <v>-</v>
          </cell>
          <cell r="J202">
            <v>0</v>
          </cell>
          <cell r="K202" t="str">
            <v>NO</v>
          </cell>
          <cell r="L202">
            <v>0</v>
          </cell>
          <cell r="M202">
            <v>0</v>
          </cell>
          <cell r="N202" t="str">
            <v>00041-2025-94-1866-JP-CI-02</v>
          </cell>
          <cell r="O202" t="str">
            <v>2° JPL (SEDE BARRANCO-MIRAFLOR</v>
          </cell>
          <cell r="P202" t="str">
            <v>2025.01.06</v>
          </cell>
          <cell r="Q202">
            <v>25439.59</v>
          </cell>
          <cell r="R202" t="str">
            <v>PRESENTACION DE LA DEMANDA</v>
          </cell>
          <cell r="S202">
            <v>23097.08</v>
          </cell>
        </row>
        <row r="203">
          <cell r="E203" t="str">
            <v>107147101000721512</v>
          </cell>
          <cell r="F203" t="str">
            <v>GRUPO PLAZA RIBEYROS EMPRESA INDIVIDUAL DE RESPONSABILIDAD LIMITADA</v>
          </cell>
          <cell r="G203" t="str">
            <v xml:space="preserve">-  </v>
          </cell>
          <cell r="H203">
            <v>0</v>
          </cell>
          <cell r="I203" t="str">
            <v>-</v>
          </cell>
          <cell r="J203">
            <v>0</v>
          </cell>
          <cell r="K203" t="str">
            <v>NO</v>
          </cell>
          <cell r="L203">
            <v>0</v>
          </cell>
          <cell r="M203">
            <v>0</v>
          </cell>
          <cell r="N203" t="str">
            <v>04956-2025-15-1866-JP-CI-02</v>
          </cell>
          <cell r="O203" t="str">
            <v>2° JPL (SEDE BARRANCO-MIRAFLOR</v>
          </cell>
          <cell r="P203" t="str">
            <v>2025.10.16</v>
          </cell>
          <cell r="Q203">
            <v>44293.48</v>
          </cell>
          <cell r="R203" t="str">
            <v>PRESENTACION DE LA DEMANDA</v>
          </cell>
          <cell r="S203">
            <v>41813.370000000003</v>
          </cell>
        </row>
        <row r="204">
          <cell r="E204" t="str">
            <v>107147101000214400</v>
          </cell>
          <cell r="F204" t="str">
            <v>HN EIRL</v>
          </cell>
          <cell r="G204" t="str">
            <v xml:space="preserve">-  </v>
          </cell>
          <cell r="H204">
            <v>0</v>
          </cell>
          <cell r="I204" t="str">
            <v>-</v>
          </cell>
          <cell r="J204">
            <v>0</v>
          </cell>
          <cell r="K204" t="str">
            <v>NO</v>
          </cell>
          <cell r="L204">
            <v>0</v>
          </cell>
          <cell r="M204">
            <v>0</v>
          </cell>
          <cell r="N204" t="str">
            <v>00456-2024-62-1820-JP-CI-03</v>
          </cell>
          <cell r="O204" t="str">
            <v>3° JPL (SEDE LINCE-SAN ISIDRO)</v>
          </cell>
          <cell r="P204" t="str">
            <v>2024.03.12</v>
          </cell>
          <cell r="Q204">
            <v>49579.8</v>
          </cell>
          <cell r="R204" t="str">
            <v>PRESENTACION DE LA DEMANDA</v>
          </cell>
          <cell r="S204">
            <v>38647.980000000003</v>
          </cell>
        </row>
        <row r="205">
          <cell r="E205" t="str">
            <v>107147101000804641</v>
          </cell>
          <cell r="F205" t="str">
            <v>INGA SALAS, SHIRLEY KARINA</v>
          </cell>
          <cell r="G205" t="str">
            <v xml:space="preserve">-  </v>
          </cell>
          <cell r="H205">
            <v>0</v>
          </cell>
          <cell r="I205" t="str">
            <v>-</v>
          </cell>
          <cell r="J205">
            <v>0</v>
          </cell>
          <cell r="K205" t="str">
            <v>NO</v>
          </cell>
          <cell r="L205">
            <v>0</v>
          </cell>
          <cell r="M205">
            <v>0</v>
          </cell>
          <cell r="N205" t="str">
            <v>01038-2025-18-1866-JP-CI-03</v>
          </cell>
          <cell r="O205" t="str">
            <v>3° JPL (SEDE BARRANCO-MIRAFLOR</v>
          </cell>
          <cell r="P205" t="str">
            <v>2025.03.21</v>
          </cell>
          <cell r="Q205">
            <v>24810.39</v>
          </cell>
          <cell r="R205" t="str">
            <v>PRESENTACION DE LA DEMANDA</v>
          </cell>
          <cell r="S205">
            <v>23471.58</v>
          </cell>
        </row>
        <row r="206">
          <cell r="E206" t="str">
            <v>107147101000215035</v>
          </cell>
          <cell r="F206" t="str">
            <v>INVERSIONES SHIRLEY DD EIRL</v>
          </cell>
          <cell r="G206" t="str">
            <v xml:space="preserve">-  </v>
          </cell>
          <cell r="H206">
            <v>0</v>
          </cell>
          <cell r="I206" t="str">
            <v>-</v>
          </cell>
          <cell r="J206">
            <v>0</v>
          </cell>
          <cell r="K206" t="str">
            <v>NO</v>
          </cell>
          <cell r="L206">
            <v>0</v>
          </cell>
          <cell r="M206">
            <v>0</v>
          </cell>
          <cell r="N206" t="str">
            <v>02919-2025-82-1866-JP-CI-03</v>
          </cell>
          <cell r="O206" t="str">
            <v>3° JPL (SEDE BARRANCO-MIRAFLOR</v>
          </cell>
          <cell r="P206" t="str">
            <v>2025.07.14</v>
          </cell>
          <cell r="Q206">
            <v>45692.19</v>
          </cell>
          <cell r="R206" t="str">
            <v>PRESENTACION DE LA DEMANDA</v>
          </cell>
          <cell r="S206">
            <v>21354.89</v>
          </cell>
        </row>
        <row r="207">
          <cell r="E207" t="str">
            <v>107147101001272819</v>
          </cell>
          <cell r="F207" t="str">
            <v>KIM IMPORT PERU E.I.R.L.</v>
          </cell>
          <cell r="G207" t="str">
            <v xml:space="preserve">-  </v>
          </cell>
          <cell r="H207">
            <v>0</v>
          </cell>
          <cell r="I207" t="str">
            <v>-</v>
          </cell>
          <cell r="J207">
            <v>0</v>
          </cell>
          <cell r="K207" t="str">
            <v>NO</v>
          </cell>
          <cell r="L207">
            <v>0</v>
          </cell>
          <cell r="M207">
            <v>0</v>
          </cell>
          <cell r="N207" t="str">
            <v>05459-2026-23-1828-JR-CO-14</v>
          </cell>
          <cell r="O207" t="str">
            <v xml:space="preserve">14° JUZGADO CIVIL - COMERCIAL </v>
          </cell>
          <cell r="P207" t="str">
            <v>2026.02.25</v>
          </cell>
          <cell r="Q207">
            <v>73390.63</v>
          </cell>
          <cell r="R207" t="str">
            <v>PRESENTACION DE LA DEMANDA</v>
          </cell>
          <cell r="S207">
            <v>66608.800000000003</v>
          </cell>
        </row>
        <row r="208">
          <cell r="E208" t="str">
            <v>107147101001245685</v>
          </cell>
          <cell r="F208" t="str">
            <v>LEON SAAVEDRA, VICTOR MANUEL</v>
          </cell>
          <cell r="G208" t="str">
            <v xml:space="preserve">-  </v>
          </cell>
          <cell r="H208">
            <v>0</v>
          </cell>
          <cell r="I208" t="str">
            <v>-</v>
          </cell>
          <cell r="J208">
            <v>0</v>
          </cell>
          <cell r="K208" t="str">
            <v>NO</v>
          </cell>
          <cell r="L208">
            <v>0</v>
          </cell>
          <cell r="M208">
            <v>0</v>
          </cell>
          <cell r="N208" t="str">
            <v>02054-2026-0-1828-JR-CO-07</v>
          </cell>
          <cell r="O208" t="str">
            <v>7° JUZGADO CIVIL COMERCIAL - L</v>
          </cell>
          <cell r="P208" t="str">
            <v>2026.01.22</v>
          </cell>
          <cell r="Q208">
            <v>22220.62</v>
          </cell>
          <cell r="R208" t="str">
            <v>PRESENTACION DE LA DEMANDA</v>
          </cell>
          <cell r="S208">
            <v>20906.18</v>
          </cell>
        </row>
        <row r="209">
          <cell r="E209" t="str">
            <v>107147101000229395</v>
          </cell>
          <cell r="F209" t="str">
            <v>MENDOZA SALCEDO, APRIL MILUSKA</v>
          </cell>
          <cell r="G209" t="str">
            <v>001</v>
          </cell>
          <cell r="H209">
            <v>18</v>
          </cell>
          <cell r="I209" t="str">
            <v>2025.11.30</v>
          </cell>
          <cell r="J209">
            <v>451.01</v>
          </cell>
          <cell r="K209" t="str">
            <v>NO</v>
          </cell>
          <cell r="L209">
            <v>213</v>
          </cell>
          <cell r="M209">
            <v>2604.3200000000002</v>
          </cell>
          <cell r="N209" t="str">
            <v>00345-2023-93-3005-JP-CI-01</v>
          </cell>
          <cell r="O209" t="str">
            <v xml:space="preserve">JPL CIVIL DE CHORRILLOS       </v>
          </cell>
          <cell r="P209" t="str">
            <v>2023.05.09</v>
          </cell>
          <cell r="Q209">
            <v>17899.060000000001</v>
          </cell>
          <cell r="R209" t="str">
            <v>PRESENTACION DE LA DEMANDA</v>
          </cell>
          <cell r="S209">
            <v>1151.08</v>
          </cell>
        </row>
        <row r="210">
          <cell r="E210" t="str">
            <v>107147101000607050</v>
          </cell>
          <cell r="F210" t="str">
            <v>NIEVES CABALLERO, JORGE ESTEBAN</v>
          </cell>
          <cell r="G210" t="str">
            <v xml:space="preserve">-  </v>
          </cell>
          <cell r="H210">
            <v>0</v>
          </cell>
          <cell r="I210" t="str">
            <v>-</v>
          </cell>
          <cell r="J210">
            <v>0</v>
          </cell>
          <cell r="K210" t="str">
            <v>NO</v>
          </cell>
          <cell r="L210">
            <v>0</v>
          </cell>
          <cell r="M210">
            <v>0</v>
          </cell>
          <cell r="N210" t="str">
            <v>00925-2023-76-3004-JP-CI-01</v>
          </cell>
          <cell r="O210" t="str">
            <v xml:space="preserve">JPL CIVIL - VILLA EL SALVADOR </v>
          </cell>
          <cell r="P210" t="str">
            <v>2023.10.11</v>
          </cell>
          <cell r="Q210">
            <v>19428.05</v>
          </cell>
          <cell r="R210" t="str">
            <v>PRESENTACION DE LA DEMANDA</v>
          </cell>
          <cell r="S210">
            <v>1127.2</v>
          </cell>
        </row>
        <row r="211">
          <cell r="E211" t="str">
            <v>107147101000616654</v>
          </cell>
          <cell r="F211" t="str">
            <v>ORIHUELA BARZOLA, DAVID DANIEL</v>
          </cell>
          <cell r="G211" t="str">
            <v>001</v>
          </cell>
          <cell r="H211">
            <v>5</v>
          </cell>
          <cell r="I211" t="str">
            <v>2026.07.05</v>
          </cell>
          <cell r="J211">
            <v>999.99</v>
          </cell>
          <cell r="K211" t="str">
            <v>SI</v>
          </cell>
          <cell r="L211">
            <v>0</v>
          </cell>
          <cell r="M211">
            <v>13478.1</v>
          </cell>
          <cell r="N211" t="str">
            <v>00980-2024-35-1820-JP-CI-03</v>
          </cell>
          <cell r="O211" t="str">
            <v>3° JPL (SEDE LINCE-SAN ISIDRO)</v>
          </cell>
          <cell r="P211" t="str">
            <v>2024.05.27</v>
          </cell>
          <cell r="Q211">
            <v>23018.52</v>
          </cell>
          <cell r="R211" t="str">
            <v>PRESENTACION DE LA DEMANDA</v>
          </cell>
          <cell r="S211">
            <v>4818.49</v>
          </cell>
        </row>
        <row r="212">
          <cell r="E212" t="str">
            <v>107147101000714394</v>
          </cell>
          <cell r="F212" t="str">
            <v>ORIHUELA BARZOLA, ISAIAS JOEL</v>
          </cell>
          <cell r="G212" t="str">
            <v xml:space="preserve">-  </v>
          </cell>
          <cell r="H212">
            <v>0</v>
          </cell>
          <cell r="I212" t="str">
            <v>-</v>
          </cell>
          <cell r="J212">
            <v>0</v>
          </cell>
          <cell r="K212" t="str">
            <v>NO</v>
          </cell>
          <cell r="L212">
            <v>0</v>
          </cell>
          <cell r="M212">
            <v>0</v>
          </cell>
          <cell r="N212" t="str">
            <v>00457-2024-69-1820-JP-CI-03</v>
          </cell>
          <cell r="O212" t="str">
            <v>3° JPL (SEDE LINCE-SAN ISIDRO)</v>
          </cell>
          <cell r="P212" t="str">
            <v>2024.03.12</v>
          </cell>
          <cell r="Q212">
            <v>24085.200000000001</v>
          </cell>
          <cell r="R212" t="str">
            <v>PRESENTACION DE LA DEMANDA</v>
          </cell>
          <cell r="S212">
            <v>22022.78</v>
          </cell>
        </row>
        <row r="213">
          <cell r="E213" t="str">
            <v>107147101000078511</v>
          </cell>
          <cell r="F213" t="str">
            <v>OSCCO BULEJE, TRINIDAD MARIA</v>
          </cell>
          <cell r="G213" t="str">
            <v xml:space="preserve">-  </v>
          </cell>
          <cell r="H213">
            <v>0</v>
          </cell>
          <cell r="I213" t="str">
            <v>-</v>
          </cell>
          <cell r="J213">
            <v>0</v>
          </cell>
          <cell r="K213" t="str">
            <v>NO</v>
          </cell>
          <cell r="L213">
            <v>0</v>
          </cell>
          <cell r="M213">
            <v>0</v>
          </cell>
          <cell r="N213" t="str">
            <v>03104-2023-1-3208-JP-CI-02</v>
          </cell>
          <cell r="O213" t="str">
            <v>2° JUZGADO PAZ LETRADO SANTA A</v>
          </cell>
          <cell r="P213" t="str">
            <v>2023.06.15</v>
          </cell>
          <cell r="Q213">
            <v>17746.669999999998</v>
          </cell>
          <cell r="R213" t="str">
            <v>PRESENTACION DE LA DEMANDA</v>
          </cell>
          <cell r="S213">
            <v>13512.53</v>
          </cell>
        </row>
        <row r="214">
          <cell r="E214" t="str">
            <v>107147101000587158</v>
          </cell>
          <cell r="F214" t="str">
            <v>QUILCA CCENTE, ELZA</v>
          </cell>
          <cell r="G214" t="str">
            <v xml:space="preserve">-  </v>
          </cell>
          <cell r="H214">
            <v>0</v>
          </cell>
          <cell r="I214" t="str">
            <v>-</v>
          </cell>
          <cell r="J214">
            <v>0</v>
          </cell>
          <cell r="K214" t="str">
            <v>NO</v>
          </cell>
          <cell r="L214">
            <v>0</v>
          </cell>
          <cell r="M214">
            <v>0</v>
          </cell>
          <cell r="N214" t="str">
            <v>00219-2024-98-1820-JP-CI-03</v>
          </cell>
          <cell r="O214" t="str">
            <v>3° JPL (SEDE LINCE-SAN ISIDRO)</v>
          </cell>
          <cell r="P214" t="str">
            <v>2024.02.06</v>
          </cell>
          <cell r="Q214">
            <v>29911.93</v>
          </cell>
          <cell r="R214" t="str">
            <v>PRESENTACION DE LA DEMANDA</v>
          </cell>
          <cell r="S214">
            <v>27928.37</v>
          </cell>
        </row>
        <row r="215">
          <cell r="E215" t="str">
            <v>107147101000896367</v>
          </cell>
          <cell r="F215" t="str">
            <v>QUIROZ QUILCA, KATTY YAKI</v>
          </cell>
          <cell r="G215" t="str">
            <v xml:space="preserve">-  </v>
          </cell>
          <cell r="H215">
            <v>0</v>
          </cell>
          <cell r="I215" t="str">
            <v>-</v>
          </cell>
          <cell r="J215">
            <v>0</v>
          </cell>
          <cell r="K215" t="str">
            <v>NO</v>
          </cell>
          <cell r="L215">
            <v>0</v>
          </cell>
          <cell r="M215">
            <v>0</v>
          </cell>
          <cell r="N215" t="str">
            <v>00223-2024-32-1820-JP-CI-03</v>
          </cell>
          <cell r="O215" t="str">
            <v>3° JPL (SEDE LINCE-SAN ISIDRO)</v>
          </cell>
          <cell r="P215" t="str">
            <v>2024.02.06</v>
          </cell>
          <cell r="Q215">
            <v>50106.04</v>
          </cell>
          <cell r="R215" t="str">
            <v>PRESENTACION DE LA DEMANDA</v>
          </cell>
          <cell r="S215">
            <v>46669.63</v>
          </cell>
        </row>
        <row r="216">
          <cell r="E216" t="str">
            <v>107147101000572728</v>
          </cell>
          <cell r="F216" t="str">
            <v>REFULIO CUYUTUPA, EDWIN ANTONIO</v>
          </cell>
          <cell r="G216" t="str">
            <v xml:space="preserve">-  </v>
          </cell>
          <cell r="H216">
            <v>0</v>
          </cell>
          <cell r="I216" t="str">
            <v>-</v>
          </cell>
          <cell r="J216">
            <v>0</v>
          </cell>
          <cell r="K216" t="str">
            <v>NO</v>
          </cell>
          <cell r="L216">
            <v>0</v>
          </cell>
          <cell r="M216">
            <v>0</v>
          </cell>
          <cell r="N216" t="str">
            <v>00018-2024-7-1814-JP-CO-07</v>
          </cell>
          <cell r="O216" t="str">
            <v>5° JPL MIXTO-LA VICTORIA Y SAN</v>
          </cell>
          <cell r="P216" t="str">
            <v>2024.01.12</v>
          </cell>
          <cell r="Q216">
            <v>12341.13</v>
          </cell>
          <cell r="R216" t="str">
            <v>PRESENTACION DE LA DEMANDA</v>
          </cell>
          <cell r="S216">
            <v>11471.31</v>
          </cell>
        </row>
        <row r="217">
          <cell r="E217" t="str">
            <v>107147101001301349</v>
          </cell>
          <cell r="F217" t="str">
            <v>RODRIGUEZ AREVALO, JAVIER</v>
          </cell>
          <cell r="G217" t="str">
            <v xml:space="preserve">-  </v>
          </cell>
          <cell r="H217">
            <v>0</v>
          </cell>
          <cell r="I217" t="str">
            <v>-</v>
          </cell>
          <cell r="J217">
            <v>0</v>
          </cell>
          <cell r="K217" t="str">
            <v>NO</v>
          </cell>
          <cell r="L217">
            <v>0</v>
          </cell>
          <cell r="M217">
            <v>0</v>
          </cell>
          <cell r="N217" t="str">
            <v>04699-2026-56-1828-JR-CO-15</v>
          </cell>
          <cell r="O217" t="str">
            <v xml:space="preserve">15° JUZGADO CIVIL - COMERCIAL </v>
          </cell>
          <cell r="P217" t="str">
            <v>2026.02.17</v>
          </cell>
          <cell r="Q217">
            <v>76131.259999999995</v>
          </cell>
          <cell r="R217" t="str">
            <v>PRESENTACION DE LA DEMANDA</v>
          </cell>
          <cell r="S217">
            <v>69468.14</v>
          </cell>
        </row>
        <row r="218">
          <cell r="E218" t="str">
            <v>107147101001147353</v>
          </cell>
          <cell r="F218" t="str">
            <v>ROSAS ESPINOZA, ELIAS</v>
          </cell>
          <cell r="G218" t="str">
            <v xml:space="preserve">-  </v>
          </cell>
          <cell r="H218">
            <v>0</v>
          </cell>
          <cell r="I218" t="str">
            <v>-</v>
          </cell>
          <cell r="J218">
            <v>0</v>
          </cell>
          <cell r="K218" t="str">
            <v>NO</v>
          </cell>
          <cell r="L218">
            <v>0</v>
          </cell>
          <cell r="M218">
            <v>0</v>
          </cell>
          <cell r="N218" t="str">
            <v>00122-2026-80-1825-JP-CO-03</v>
          </cell>
          <cell r="O218" t="str">
            <v>3°JPL (SEDE SURCO-SAN BORJA)</v>
          </cell>
          <cell r="P218" t="str">
            <v>2026.04.01</v>
          </cell>
          <cell r="Q218">
            <v>43744.79</v>
          </cell>
          <cell r="R218" t="str">
            <v>PRESENTACION DE LA DEMANDA</v>
          </cell>
          <cell r="S218">
            <v>39964.620000000003</v>
          </cell>
        </row>
        <row r="219">
          <cell r="E219" t="str">
            <v>107147101000766682</v>
          </cell>
          <cell r="F219" t="str">
            <v>SANCHEZ JARA, RUTH</v>
          </cell>
          <cell r="G219" t="str">
            <v xml:space="preserve">-  </v>
          </cell>
          <cell r="H219">
            <v>0</v>
          </cell>
          <cell r="I219" t="str">
            <v>-</v>
          </cell>
          <cell r="J219">
            <v>0</v>
          </cell>
          <cell r="K219" t="str">
            <v>NO</v>
          </cell>
          <cell r="L219">
            <v>0</v>
          </cell>
          <cell r="M219">
            <v>0</v>
          </cell>
          <cell r="N219" t="str">
            <v>04329-2025-73-1866-JP-CI-02</v>
          </cell>
          <cell r="O219" t="str">
            <v>2° JPL (SEDE BARRANCO-MIRAFLOR</v>
          </cell>
          <cell r="P219" t="str">
            <v>2025.09.16</v>
          </cell>
          <cell r="Q219">
            <v>24110.07</v>
          </cell>
          <cell r="R219" t="str">
            <v>PRESENTACION DE LA DEMANDA</v>
          </cell>
          <cell r="S219">
            <v>22584.19</v>
          </cell>
        </row>
        <row r="220">
          <cell r="E220" t="str">
            <v>107147101000256363</v>
          </cell>
          <cell r="F220" t="str">
            <v>SYLCOMTEL DATA PERU S.A.C</v>
          </cell>
          <cell r="G220" t="str">
            <v xml:space="preserve">-  </v>
          </cell>
          <cell r="H220">
            <v>0</v>
          </cell>
          <cell r="I220" t="str">
            <v>-</v>
          </cell>
          <cell r="J220">
            <v>0</v>
          </cell>
          <cell r="K220" t="str">
            <v>NO</v>
          </cell>
          <cell r="L220">
            <v>0</v>
          </cell>
          <cell r="M220">
            <v>0</v>
          </cell>
          <cell r="N220" t="str">
            <v>09272-2023-0-1817-JR-CO-06</v>
          </cell>
          <cell r="O220" t="str">
            <v xml:space="preserve">6º JUZGADO CIVIL-COMERCIAL    </v>
          </cell>
          <cell r="P220" t="str">
            <v>2023.05.09</v>
          </cell>
          <cell r="Q220">
            <v>158525.01</v>
          </cell>
          <cell r="R220" t="str">
            <v>PRESENTACION DE LA DEMANDA</v>
          </cell>
          <cell r="S220">
            <v>91000</v>
          </cell>
        </row>
        <row r="221">
          <cell r="E221" t="str">
            <v>107147101001311572</v>
          </cell>
          <cell r="F221" t="str">
            <v>TORRES CARLOS, MIGUEL ANGEL</v>
          </cell>
          <cell r="G221" t="str">
            <v xml:space="preserve">-  </v>
          </cell>
          <cell r="H221">
            <v>0</v>
          </cell>
          <cell r="I221" t="str">
            <v>-</v>
          </cell>
          <cell r="J221">
            <v>0</v>
          </cell>
          <cell r="K221" t="str">
            <v>NO</v>
          </cell>
          <cell r="L221">
            <v>0</v>
          </cell>
          <cell r="M221">
            <v>0</v>
          </cell>
          <cell r="N221" t="str">
            <v>01552-2025-0-1820-JP-CI-03</v>
          </cell>
          <cell r="O221" t="str">
            <v>3° JPL (SEDE LINCE-SAN ISIDRO)</v>
          </cell>
          <cell r="P221" t="str">
            <v>2025.09.19</v>
          </cell>
          <cell r="Q221">
            <v>46294.45</v>
          </cell>
          <cell r="R221" t="str">
            <v>PRESENTACION DE LA DEMANDA</v>
          </cell>
          <cell r="S221">
            <v>44752.34</v>
          </cell>
        </row>
        <row r="222">
          <cell r="E222" t="str">
            <v>107147101000732708</v>
          </cell>
          <cell r="F222" t="str">
            <v>VALLADARES VILLALBA, NANCY</v>
          </cell>
          <cell r="G222" t="str">
            <v>006</v>
          </cell>
          <cell r="H222">
            <v>12</v>
          </cell>
          <cell r="I222" t="str">
            <v>2026.08.16</v>
          </cell>
          <cell r="J222">
            <v>600</v>
          </cell>
          <cell r="K222" t="str">
            <v>SI</v>
          </cell>
          <cell r="L222">
            <v>0</v>
          </cell>
          <cell r="M222">
            <v>27224.84</v>
          </cell>
          <cell r="N222" t="str">
            <v>03411-2025-76-1866-JP-CI-02</v>
          </cell>
          <cell r="O222" t="str">
            <v>2° JPL (SEDE BARRANCO-MIRAFLOR</v>
          </cell>
          <cell r="P222" t="str">
            <v>2025.08.12</v>
          </cell>
          <cell r="Q222">
            <v>24106.720000000001</v>
          </cell>
          <cell r="R222" t="str">
            <v>PRESENTACION DE LA DEMANDA</v>
          </cell>
          <cell r="S222">
            <v>16616.849999999999</v>
          </cell>
        </row>
        <row r="223">
          <cell r="E223" t="str">
            <v>107147101001016154</v>
          </cell>
          <cell r="F223" t="str">
            <v>VELA DASILVA, GLORIA</v>
          </cell>
          <cell r="G223" t="str">
            <v xml:space="preserve">-  </v>
          </cell>
          <cell r="H223">
            <v>0</v>
          </cell>
          <cell r="I223" t="str">
            <v>-</v>
          </cell>
          <cell r="J223">
            <v>0</v>
          </cell>
          <cell r="K223" t="str">
            <v>NO</v>
          </cell>
          <cell r="L223">
            <v>0</v>
          </cell>
          <cell r="M223">
            <v>0</v>
          </cell>
          <cell r="N223" t="str">
            <v>03834-2026-0-1828-JR-CO-14</v>
          </cell>
          <cell r="O223" t="str">
            <v xml:space="preserve">14° JUZGADO CIVIL - COMERCIAL </v>
          </cell>
          <cell r="P223" t="str">
            <v>2026.02.05</v>
          </cell>
          <cell r="Q223">
            <v>43612.67</v>
          </cell>
          <cell r="R223" t="str">
            <v>PRESENTACION DE LA DEMANDA</v>
          </cell>
          <cell r="S223">
            <v>40235.33</v>
          </cell>
        </row>
        <row r="224">
          <cell r="E224" t="str">
            <v>107147101001231579</v>
          </cell>
          <cell r="F224" t="str">
            <v>VELASCO BLANCO, JOSE MIGUEL</v>
          </cell>
          <cell r="G224" t="str">
            <v xml:space="preserve">-  </v>
          </cell>
          <cell r="H224">
            <v>0</v>
          </cell>
          <cell r="I224" t="str">
            <v>-</v>
          </cell>
          <cell r="J224">
            <v>0</v>
          </cell>
          <cell r="K224" t="str">
            <v>NO</v>
          </cell>
          <cell r="L224">
            <v>0</v>
          </cell>
          <cell r="M224">
            <v>0</v>
          </cell>
          <cell r="N224" t="str">
            <v>21679-2025-0-1828-JR-CO-03</v>
          </cell>
          <cell r="O224" t="str">
            <v>3° JUZGADO CIVIL COMERCIAL</v>
          </cell>
          <cell r="P224" t="str">
            <v>2025.09.22</v>
          </cell>
          <cell r="Q224">
            <v>49752.94</v>
          </cell>
          <cell r="R224" t="str">
            <v>PRESENTACION DE LA DEMANDA</v>
          </cell>
          <cell r="S224">
            <v>45101.34</v>
          </cell>
        </row>
        <row r="225">
          <cell r="E225" t="str">
            <v>107147101001329068</v>
          </cell>
          <cell r="F225" t="str">
            <v>VELASQUEZ BARBOZA, JUAN CARLOS</v>
          </cell>
          <cell r="G225" t="str">
            <v xml:space="preserve">-  </v>
          </cell>
          <cell r="H225">
            <v>0</v>
          </cell>
          <cell r="I225" t="str">
            <v>-</v>
          </cell>
          <cell r="J225">
            <v>0</v>
          </cell>
          <cell r="K225" t="str">
            <v>NO</v>
          </cell>
          <cell r="L225">
            <v>0</v>
          </cell>
          <cell r="M225">
            <v>0</v>
          </cell>
          <cell r="N225" t="str">
            <v>00299-2026-19-1825-JP-CO-03</v>
          </cell>
          <cell r="O225" t="str">
            <v>3°JPL (SEDE SURCO-SAN BORJA)</v>
          </cell>
          <cell r="P225" t="str">
            <v>2026.06.26</v>
          </cell>
          <cell r="Q225">
            <v>18587.84</v>
          </cell>
          <cell r="R225" t="str">
            <v>PRESENTACION DE LA DEMANDA</v>
          </cell>
          <cell r="S225">
            <v>16762.37</v>
          </cell>
        </row>
        <row r="226">
          <cell r="E226" t="str">
            <v>107147101000948498</v>
          </cell>
          <cell r="F226" t="str">
            <v>VERGARA SURCO, YRENE</v>
          </cell>
          <cell r="G226" t="str">
            <v>001</v>
          </cell>
          <cell r="H226">
            <v>12</v>
          </cell>
          <cell r="I226" t="str">
            <v>2026.01.23</v>
          </cell>
          <cell r="J226">
            <v>936.73</v>
          </cell>
          <cell r="K226" t="str">
            <v>NO</v>
          </cell>
          <cell r="L226">
            <v>159</v>
          </cell>
          <cell r="M226">
            <v>70602.5</v>
          </cell>
          <cell r="N226" t="str">
            <v>26850-2025-0-1828-JR-CO-15</v>
          </cell>
          <cell r="O226" t="str">
            <v xml:space="preserve">15° JUZGADO CIVIL - COMERCIAL </v>
          </cell>
          <cell r="P226" t="str">
            <v>2025.11.05</v>
          </cell>
          <cell r="Q226">
            <v>68172.31</v>
          </cell>
          <cell r="R226" t="str">
            <v>PRESENTACION DE LA DEMANDA</v>
          </cell>
          <cell r="S226">
            <v>63439.24</v>
          </cell>
        </row>
        <row r="227">
          <cell r="E227" t="str">
            <v>107147101001315819</v>
          </cell>
          <cell r="F227" t="str">
            <v>ZARAZU ZAVALETA, MIRNA ROSARIO</v>
          </cell>
          <cell r="G227" t="str">
            <v xml:space="preserve">-  </v>
          </cell>
          <cell r="H227">
            <v>0</v>
          </cell>
          <cell r="I227" t="str">
            <v>-</v>
          </cell>
          <cell r="J227">
            <v>0</v>
          </cell>
          <cell r="K227" t="str">
            <v>NO</v>
          </cell>
          <cell r="L227">
            <v>0</v>
          </cell>
          <cell r="M227">
            <v>0</v>
          </cell>
          <cell r="N227" t="str">
            <v>28830-2025-0-1828-JR-CO-13</v>
          </cell>
          <cell r="O227" t="str">
            <v>13° JUZGADO CIVIL COMERCIAL</v>
          </cell>
          <cell r="P227" t="str">
            <v>2025.11.28</v>
          </cell>
          <cell r="Q227">
            <v>56226.21</v>
          </cell>
          <cell r="R227" t="str">
            <v>PRESENTACION DE LA DEMANDA</v>
          </cell>
          <cell r="S227">
            <v>50000</v>
          </cell>
        </row>
        <row r="228">
          <cell r="E228" t="str">
            <v>107172101000707697</v>
          </cell>
          <cell r="F228" t="str">
            <v>ALALUNA RUIZ, CARMEN SARA</v>
          </cell>
          <cell r="G228" t="str">
            <v xml:space="preserve">-  </v>
          </cell>
          <cell r="H228">
            <v>0</v>
          </cell>
          <cell r="I228" t="str">
            <v>-</v>
          </cell>
          <cell r="J228">
            <v>0</v>
          </cell>
          <cell r="K228" t="str">
            <v>NO</v>
          </cell>
          <cell r="L228">
            <v>0</v>
          </cell>
          <cell r="M228">
            <v>0</v>
          </cell>
          <cell r="N228" t="str">
            <v>00622-2025-10-1866-JP-CI-02</v>
          </cell>
          <cell r="O228" t="str">
            <v>2DO JZ. PAZ LETRADO BAR- MIR</v>
          </cell>
          <cell r="P228" t="str">
            <v>2025.02.17</v>
          </cell>
          <cell r="Q228">
            <v>37312.400000000001</v>
          </cell>
          <cell r="R228" t="str">
            <v>PRESENTACION DE LA DEMANDA</v>
          </cell>
          <cell r="S228">
            <v>19947.37</v>
          </cell>
        </row>
        <row r="229">
          <cell r="E229" t="str">
            <v>107172101000923994</v>
          </cell>
          <cell r="F229" t="str">
            <v>ALMEIDA FARFAN, LILIANA</v>
          </cell>
          <cell r="G229" t="str">
            <v xml:space="preserve">-  </v>
          </cell>
          <cell r="H229">
            <v>0</v>
          </cell>
          <cell r="I229" t="str">
            <v>-</v>
          </cell>
          <cell r="J229">
            <v>0</v>
          </cell>
          <cell r="K229" t="str">
            <v>NO</v>
          </cell>
          <cell r="L229">
            <v>0</v>
          </cell>
          <cell r="M229">
            <v>0</v>
          </cell>
          <cell r="N229" t="str">
            <v>04396-2025-98-1866-JP-CI-02</v>
          </cell>
          <cell r="O229" t="str">
            <v>2DO JZ. PAZ LETRADO BAR- MIR</v>
          </cell>
          <cell r="P229" t="str">
            <v>2025.09.18</v>
          </cell>
          <cell r="Q229">
            <v>21169.18</v>
          </cell>
          <cell r="R229" t="str">
            <v>PRESENTACION DE LA DEMANDA</v>
          </cell>
          <cell r="S229">
            <v>19761.18</v>
          </cell>
        </row>
        <row r="230">
          <cell r="E230" t="str">
            <v>107172101001170800</v>
          </cell>
          <cell r="F230" t="str">
            <v>ANAYA VALVERDE, RICARDINA</v>
          </cell>
          <cell r="G230" t="str">
            <v xml:space="preserve">-  </v>
          </cell>
          <cell r="H230">
            <v>0</v>
          </cell>
          <cell r="I230" t="str">
            <v>-</v>
          </cell>
          <cell r="J230">
            <v>0</v>
          </cell>
          <cell r="K230" t="str">
            <v>NO</v>
          </cell>
          <cell r="L230">
            <v>0</v>
          </cell>
          <cell r="M230">
            <v>0</v>
          </cell>
          <cell r="N230" t="str">
            <v>01551-2025-0-1820-JP-CI-02</v>
          </cell>
          <cell r="O230" t="str">
            <v>2° JZ. PAZ LETRADO LINCE-SAN I</v>
          </cell>
          <cell r="P230" t="str">
            <v>2025.09.19</v>
          </cell>
          <cell r="Q230">
            <v>28822.22</v>
          </cell>
          <cell r="R230" t="str">
            <v>PRESENTACION DE LA DEMANDA</v>
          </cell>
          <cell r="S230">
            <v>28822.83</v>
          </cell>
        </row>
        <row r="231">
          <cell r="E231" t="str">
            <v>107172101001139504</v>
          </cell>
          <cell r="F231" t="str">
            <v>BAYONA ROJAS, DANIELA VANESSA</v>
          </cell>
          <cell r="G231" t="str">
            <v xml:space="preserve">-  </v>
          </cell>
          <cell r="H231">
            <v>0</v>
          </cell>
          <cell r="I231" t="str">
            <v>-</v>
          </cell>
          <cell r="J231">
            <v>0</v>
          </cell>
          <cell r="K231" t="str">
            <v>NO</v>
          </cell>
          <cell r="L231">
            <v>0</v>
          </cell>
          <cell r="M231">
            <v>0</v>
          </cell>
          <cell r="N231" t="str">
            <v>00755-2024-50-3001-JP-CI-01</v>
          </cell>
          <cell r="O231" t="str">
            <v xml:space="preserve">JUZGADO PAZ LETRADO CIVIL VMT </v>
          </cell>
          <cell r="P231" t="str">
            <v>2024.08.15</v>
          </cell>
          <cell r="Q231">
            <v>9103.4599999999991</v>
          </cell>
          <cell r="R231" t="str">
            <v>PRESENTACION DE LA DEMANDA</v>
          </cell>
          <cell r="S231">
            <v>5858.14</v>
          </cell>
        </row>
        <row r="232">
          <cell r="E232" t="str">
            <v>107172101000927126</v>
          </cell>
          <cell r="F232" t="str">
            <v>BUSTAMANTE GUTIERREZ, ANGIE STEPHANY</v>
          </cell>
          <cell r="G232" t="str">
            <v>010</v>
          </cell>
          <cell r="H232">
            <v>12</v>
          </cell>
          <cell r="I232" t="str">
            <v>2026.07.30</v>
          </cell>
          <cell r="J232">
            <v>500</v>
          </cell>
          <cell r="K232" t="str">
            <v>SI</v>
          </cell>
          <cell r="L232">
            <v>0</v>
          </cell>
          <cell r="M232">
            <v>34561.31</v>
          </cell>
          <cell r="N232" t="str">
            <v>00347-2024-61-3001-JP-CI-01</v>
          </cell>
          <cell r="O232" t="str">
            <v xml:space="preserve">JUZGADO PAZ LETRADO CIVIL VMT </v>
          </cell>
          <cell r="P232" t="str">
            <v>2024.04.25</v>
          </cell>
          <cell r="Q232">
            <v>26000</v>
          </cell>
          <cell r="R232" t="str">
            <v>PRESENTACION DE LA DEMANDA</v>
          </cell>
          <cell r="S232">
            <v>15230.65</v>
          </cell>
        </row>
        <row r="233">
          <cell r="E233" t="str">
            <v>107172101001054318</v>
          </cell>
          <cell r="F233" t="str">
            <v>CARBAJAL SULLCA, SAUDINA</v>
          </cell>
          <cell r="G233" t="str">
            <v xml:space="preserve">-  </v>
          </cell>
          <cell r="H233">
            <v>0</v>
          </cell>
          <cell r="I233" t="str">
            <v>-</v>
          </cell>
          <cell r="J233">
            <v>0</v>
          </cell>
          <cell r="K233" t="str">
            <v>NO</v>
          </cell>
          <cell r="L233">
            <v>0</v>
          </cell>
          <cell r="M233">
            <v>0</v>
          </cell>
          <cell r="N233" t="str">
            <v>01531-2025-0-1820-JP-CI-04</v>
          </cell>
          <cell r="O233" t="str">
            <v>3er JUZ PAZ LET.(LINCE-SAN ISI</v>
          </cell>
          <cell r="P233" t="str">
            <v>2025.09.15</v>
          </cell>
          <cell r="Q233">
            <v>50000</v>
          </cell>
          <cell r="R233" t="str">
            <v>PRESENTACION DE LA DEMANDA</v>
          </cell>
          <cell r="S233">
            <v>50000</v>
          </cell>
        </row>
        <row r="234">
          <cell r="E234" t="str">
            <v>107172101000794158</v>
          </cell>
          <cell r="F234" t="str">
            <v>CAYLLAHUA CANCHASTO, PEDRO ALEX</v>
          </cell>
          <cell r="G234" t="str">
            <v xml:space="preserve">-  </v>
          </cell>
          <cell r="H234">
            <v>0</v>
          </cell>
          <cell r="I234" t="str">
            <v>-</v>
          </cell>
          <cell r="J234">
            <v>0</v>
          </cell>
          <cell r="K234" t="str">
            <v>NO</v>
          </cell>
          <cell r="L234">
            <v>0</v>
          </cell>
          <cell r="M234">
            <v>0</v>
          </cell>
          <cell r="N234" t="str">
            <v>03430-2025-74-1866-JP-CI-02</v>
          </cell>
          <cell r="O234" t="str">
            <v>2DO JZ. PAZ LETRADO BAR- MIR</v>
          </cell>
          <cell r="P234" t="str">
            <v>2025.08.12</v>
          </cell>
          <cell r="Q234">
            <v>17280.36</v>
          </cell>
          <cell r="R234" t="str">
            <v>PRESENTACION DE LA DEMANDA</v>
          </cell>
          <cell r="S234">
            <v>16113.96</v>
          </cell>
        </row>
        <row r="235">
          <cell r="E235" t="str">
            <v>107172101001040159</v>
          </cell>
          <cell r="F235" t="str">
            <v>CHAHUA SALAS, TATIANA ISABEL</v>
          </cell>
          <cell r="G235" t="str">
            <v>011</v>
          </cell>
          <cell r="H235">
            <v>12</v>
          </cell>
          <cell r="I235" t="str">
            <v>2026.07.25</v>
          </cell>
          <cell r="J235">
            <v>500</v>
          </cell>
          <cell r="K235" t="str">
            <v>SI</v>
          </cell>
          <cell r="L235">
            <v>0</v>
          </cell>
          <cell r="M235">
            <v>29561.95</v>
          </cell>
          <cell r="N235" t="str">
            <v>01132-2024-79-3001-JP-CI-01</v>
          </cell>
          <cell r="O235" t="str">
            <v xml:space="preserve">JUZGADO PAZ LETRADO CIVIL VMT </v>
          </cell>
          <cell r="P235" t="str">
            <v>2024.12.23</v>
          </cell>
          <cell r="Q235">
            <v>27000</v>
          </cell>
          <cell r="R235" t="str">
            <v>PRESENTACION DE LA DEMANDA</v>
          </cell>
          <cell r="S235">
            <v>17009.78</v>
          </cell>
        </row>
        <row r="236">
          <cell r="E236" t="str">
            <v>107172101000658098</v>
          </cell>
          <cell r="F236" t="str">
            <v>CRUZ CCOILLO, ARNALDO</v>
          </cell>
          <cell r="G236" t="str">
            <v xml:space="preserve">-  </v>
          </cell>
          <cell r="H236">
            <v>0</v>
          </cell>
          <cell r="I236" t="str">
            <v>-</v>
          </cell>
          <cell r="J236">
            <v>0</v>
          </cell>
          <cell r="K236" t="str">
            <v>NO</v>
          </cell>
          <cell r="L236">
            <v>0</v>
          </cell>
          <cell r="M236">
            <v>0</v>
          </cell>
          <cell r="N236" t="str">
            <v>00099-2024-0-3002-JP-CI-02</v>
          </cell>
          <cell r="O236" t="str">
            <v>JUZGADO DE PAZ LETRADO CIVIL S</v>
          </cell>
          <cell r="P236" t="str">
            <v>2024.02.12</v>
          </cell>
          <cell r="Q236">
            <v>30000</v>
          </cell>
          <cell r="R236" t="str">
            <v>PRESENTACION DE LA DEMANDA</v>
          </cell>
          <cell r="S236">
            <v>9866.35</v>
          </cell>
        </row>
        <row r="237">
          <cell r="E237" t="str">
            <v>107172101000547718</v>
          </cell>
          <cell r="F237" t="str">
            <v>CRUZ CCOILLO, ARNALDO</v>
          </cell>
          <cell r="G237" t="str">
            <v xml:space="preserve">-  </v>
          </cell>
          <cell r="H237">
            <v>0</v>
          </cell>
          <cell r="I237" t="str">
            <v>-</v>
          </cell>
          <cell r="J237">
            <v>0</v>
          </cell>
          <cell r="K237" t="str">
            <v>NO</v>
          </cell>
          <cell r="L237">
            <v>0</v>
          </cell>
          <cell r="M237">
            <v>0</v>
          </cell>
          <cell r="N237" t="str">
            <v>00099-2024-0-3002-JP-CI-02</v>
          </cell>
          <cell r="O237" t="str">
            <v>JUZGADO DE PAZ LETRADO CIVIL S</v>
          </cell>
          <cell r="P237" t="str">
            <v>2024.02.12</v>
          </cell>
          <cell r="Q237">
            <v>30000</v>
          </cell>
          <cell r="R237" t="str">
            <v>PRESENTACION DE LA DEMANDA</v>
          </cell>
          <cell r="S237">
            <v>15373.64</v>
          </cell>
        </row>
        <row r="238">
          <cell r="E238" t="str">
            <v>107172101000510433</v>
          </cell>
          <cell r="F238" t="str">
            <v>CULQUI ZEVALLOS, DANNA YAMILET</v>
          </cell>
          <cell r="G238" t="str">
            <v xml:space="preserve">-  </v>
          </cell>
          <cell r="H238">
            <v>0</v>
          </cell>
          <cell r="I238" t="str">
            <v>-</v>
          </cell>
          <cell r="J238">
            <v>0</v>
          </cell>
          <cell r="K238" t="str">
            <v>NO</v>
          </cell>
          <cell r="L238">
            <v>0</v>
          </cell>
          <cell r="M238">
            <v>0</v>
          </cell>
          <cell r="N238" t="str">
            <v>00793-2023-0-3001-JP-CI-01</v>
          </cell>
          <cell r="O238" t="str">
            <v xml:space="preserve">JUZGADO PAZ LETRADO CIVIL VMT </v>
          </cell>
          <cell r="P238" t="str">
            <v>2023.09.08</v>
          </cell>
          <cell r="Q238">
            <v>34887.86</v>
          </cell>
          <cell r="R238" t="str">
            <v>PRESENTACION DE LA DEMANDA</v>
          </cell>
          <cell r="S238">
            <v>31826.85</v>
          </cell>
        </row>
        <row r="239">
          <cell r="E239" t="str">
            <v>107172101001182239</v>
          </cell>
          <cell r="F239" t="str">
            <v>CUSIPUMA CAMPOS, NILO MARTIN</v>
          </cell>
          <cell r="G239" t="str">
            <v xml:space="preserve">-  </v>
          </cell>
          <cell r="H239">
            <v>0</v>
          </cell>
          <cell r="I239" t="str">
            <v>-</v>
          </cell>
          <cell r="J239">
            <v>0</v>
          </cell>
          <cell r="K239" t="str">
            <v>NO</v>
          </cell>
          <cell r="L239">
            <v>0</v>
          </cell>
          <cell r="M239">
            <v>0</v>
          </cell>
          <cell r="N239" t="str">
            <v>01550-2025-0-1820-JP-CI-04</v>
          </cell>
          <cell r="O239" t="str">
            <v>4TO JUZ, PAZ LET. LINCE-SAN IS</v>
          </cell>
          <cell r="P239" t="str">
            <v>2025.09.19</v>
          </cell>
          <cell r="Q239">
            <v>18500</v>
          </cell>
          <cell r="R239" t="str">
            <v>PRESENTACION DE LA DEMANDA</v>
          </cell>
          <cell r="S239">
            <v>18500</v>
          </cell>
        </row>
        <row r="240">
          <cell r="E240" t="str">
            <v>107172101000712239</v>
          </cell>
          <cell r="F240" t="str">
            <v>DE LA CRUZ QUISPE, JOSE LUIS</v>
          </cell>
          <cell r="G240" t="str">
            <v xml:space="preserve">-  </v>
          </cell>
          <cell r="H240">
            <v>0</v>
          </cell>
          <cell r="I240" t="str">
            <v>-</v>
          </cell>
          <cell r="J240">
            <v>0</v>
          </cell>
          <cell r="K240" t="str">
            <v>NO</v>
          </cell>
          <cell r="L240">
            <v>0</v>
          </cell>
          <cell r="M240">
            <v>0</v>
          </cell>
          <cell r="N240" t="str">
            <v>05179-2025-77-1866-JP-CI-02</v>
          </cell>
          <cell r="O240" t="str">
            <v>2DO JZ. PAZ LETRADO BAR- MIR</v>
          </cell>
          <cell r="P240" t="str">
            <v>2025.10.28</v>
          </cell>
          <cell r="Q240">
            <v>3746.48</v>
          </cell>
          <cell r="R240" t="str">
            <v>PRESENTACION DE LA DEMANDA</v>
          </cell>
          <cell r="S240">
            <v>35301.089999999997</v>
          </cell>
        </row>
        <row r="241">
          <cell r="E241" t="str">
            <v>107172101001063463</v>
          </cell>
          <cell r="F241" t="str">
            <v>DIAZ QUISPE, ROSA MARGARITA</v>
          </cell>
          <cell r="G241" t="str">
            <v xml:space="preserve">-  </v>
          </cell>
          <cell r="H241">
            <v>0</v>
          </cell>
          <cell r="I241" t="str">
            <v>-</v>
          </cell>
          <cell r="J241">
            <v>0</v>
          </cell>
          <cell r="K241" t="str">
            <v>NO</v>
          </cell>
          <cell r="L241">
            <v>0</v>
          </cell>
          <cell r="M241">
            <v>0</v>
          </cell>
          <cell r="N241" t="str">
            <v>01003-2024-35-3001-JP-CI-01</v>
          </cell>
          <cell r="O241" t="str">
            <v xml:space="preserve">JUZGADO PAZ LETRADO CIVIL VMT </v>
          </cell>
          <cell r="P241" t="str">
            <v>2024.11.08</v>
          </cell>
          <cell r="Q241">
            <v>31140.25</v>
          </cell>
          <cell r="R241" t="str">
            <v>PRESENTACION DE LA DEMANDA</v>
          </cell>
          <cell r="S241">
            <v>27144.91</v>
          </cell>
        </row>
        <row r="242">
          <cell r="E242" t="str">
            <v>107172101000853849</v>
          </cell>
          <cell r="F242" t="str">
            <v>ENCARNACION ACARO, YOHANNA PATRICIA</v>
          </cell>
          <cell r="G242" t="str">
            <v xml:space="preserve">-  </v>
          </cell>
          <cell r="H242">
            <v>0</v>
          </cell>
          <cell r="I242" t="str">
            <v>-</v>
          </cell>
          <cell r="J242">
            <v>0</v>
          </cell>
          <cell r="K242" t="str">
            <v>NO</v>
          </cell>
          <cell r="L242">
            <v>0</v>
          </cell>
          <cell r="M242">
            <v>0</v>
          </cell>
          <cell r="N242" t="str">
            <v>00130-2024-77-3001-JP-CI-01</v>
          </cell>
          <cell r="O242" t="str">
            <v>JUZGADO PAZ LETRADO VILLA MARI</v>
          </cell>
          <cell r="P242" t="str">
            <v>2024.02.20</v>
          </cell>
          <cell r="Q242">
            <v>9475.2800000000007</v>
          </cell>
          <cell r="R242" t="str">
            <v>PRESENTACION DE LA DEMANDA</v>
          </cell>
          <cell r="S242">
            <v>2458.12</v>
          </cell>
        </row>
        <row r="243">
          <cell r="E243" t="str">
            <v>107172101000450923</v>
          </cell>
          <cell r="F243" t="str">
            <v>FLORES CABANILLAS, DILMER</v>
          </cell>
          <cell r="G243" t="str">
            <v xml:space="preserve">-  </v>
          </cell>
          <cell r="H243">
            <v>0</v>
          </cell>
          <cell r="I243" t="str">
            <v>-</v>
          </cell>
          <cell r="J243">
            <v>0</v>
          </cell>
          <cell r="K243" t="str">
            <v>NO</v>
          </cell>
          <cell r="L243">
            <v>0</v>
          </cell>
          <cell r="M243">
            <v>0</v>
          </cell>
          <cell r="N243" t="str">
            <v>00554-2023-25-3001-JP-CI-01</v>
          </cell>
          <cell r="O243" t="str">
            <v>JUZGADO PAZ LETRADO VILLA MARI</v>
          </cell>
          <cell r="P243" t="str">
            <v>2023.06.26</v>
          </cell>
          <cell r="Q243">
            <v>24000</v>
          </cell>
          <cell r="R243" t="str">
            <v>PRESENTACION DE LA DEMANDA</v>
          </cell>
          <cell r="S243">
            <v>20032.82</v>
          </cell>
        </row>
        <row r="244">
          <cell r="E244" t="str">
            <v>107172101000548622</v>
          </cell>
          <cell r="F244" t="str">
            <v>GUTIERREZ QUISPE, KATTY SILVIA</v>
          </cell>
          <cell r="G244" t="str">
            <v>010</v>
          </cell>
          <cell r="H244">
            <v>12</v>
          </cell>
          <cell r="I244" t="str">
            <v>2026.07.30</v>
          </cell>
          <cell r="J244">
            <v>1499.5</v>
          </cell>
          <cell r="K244" t="str">
            <v>SI</v>
          </cell>
          <cell r="L244">
            <v>0</v>
          </cell>
          <cell r="M244">
            <v>91823.69</v>
          </cell>
          <cell r="N244" t="str">
            <v>13546-2025-0-1828-JR-CO-03</v>
          </cell>
          <cell r="O244" t="str">
            <v xml:space="preserve">1° J CIVIL COMERCIAL DE LIMA  </v>
          </cell>
          <cell r="P244" t="str">
            <v>2025.06.19</v>
          </cell>
          <cell r="Q244">
            <v>77552.649999999994</v>
          </cell>
          <cell r="R244" t="str">
            <v>PRESENTACION DE LA DEMANDA</v>
          </cell>
          <cell r="S244">
            <v>50265.55</v>
          </cell>
        </row>
        <row r="245">
          <cell r="E245" t="str">
            <v>107172101000622560</v>
          </cell>
          <cell r="F245" t="str">
            <v>HUAMAN ESTEVES, SARA MILAGROS</v>
          </cell>
          <cell r="G245" t="str">
            <v xml:space="preserve">-  </v>
          </cell>
          <cell r="H245">
            <v>0</v>
          </cell>
          <cell r="I245" t="str">
            <v>-</v>
          </cell>
          <cell r="J245">
            <v>0</v>
          </cell>
          <cell r="K245" t="str">
            <v>NO</v>
          </cell>
          <cell r="L245">
            <v>0</v>
          </cell>
          <cell r="M245">
            <v>0</v>
          </cell>
          <cell r="N245" t="str">
            <v>00432-2024-92-3004-JP-CI-01</v>
          </cell>
          <cell r="O245" t="str">
            <v xml:space="preserve">JUZGADO PAZ LETRADO CIVIL VES </v>
          </cell>
          <cell r="P245" t="str">
            <v>2024.05.08</v>
          </cell>
          <cell r="Q245">
            <v>22000</v>
          </cell>
          <cell r="R245" t="str">
            <v>PRESENTACION DE LA DEMANDA</v>
          </cell>
          <cell r="S245">
            <v>3872.7</v>
          </cell>
        </row>
        <row r="246">
          <cell r="E246" t="str">
            <v>107172101000903770</v>
          </cell>
          <cell r="F246" t="str">
            <v>HUARANCCA TOLEDO DE MALDONADO, VILMA LEONCIA</v>
          </cell>
          <cell r="G246" t="str">
            <v>002</v>
          </cell>
          <cell r="H246">
            <v>12</v>
          </cell>
          <cell r="I246" t="str">
            <v>2026.07.20</v>
          </cell>
          <cell r="J246">
            <v>999.98</v>
          </cell>
          <cell r="K246" t="str">
            <v>SI</v>
          </cell>
          <cell r="L246">
            <v>0</v>
          </cell>
          <cell r="M246">
            <v>25522.06</v>
          </cell>
          <cell r="N246" t="str">
            <v>00746-2024-0-3001-JP-CI-01</v>
          </cell>
          <cell r="O246" t="str">
            <v xml:space="preserve">JUZGADO PAZ LETRADO CIVIL VMT </v>
          </cell>
          <cell r="P246" t="str">
            <v>2024.08.13</v>
          </cell>
          <cell r="Q246">
            <v>28777.67</v>
          </cell>
          <cell r="R246" t="str">
            <v>PRESENTACION DE LA DEMANDA</v>
          </cell>
          <cell r="S246">
            <v>7911.92</v>
          </cell>
        </row>
        <row r="247">
          <cell r="E247" t="str">
            <v>107172101000905100</v>
          </cell>
          <cell r="F247" t="str">
            <v>HUARANCCA TOLEDO DE MALDONADO, VILMA LEONCIA</v>
          </cell>
          <cell r="G247" t="str">
            <v xml:space="preserve">-  </v>
          </cell>
          <cell r="H247">
            <v>0</v>
          </cell>
          <cell r="I247" t="str">
            <v>-</v>
          </cell>
          <cell r="J247">
            <v>0</v>
          </cell>
          <cell r="K247" t="str">
            <v>NO</v>
          </cell>
          <cell r="L247">
            <v>0</v>
          </cell>
          <cell r="M247">
            <v>0</v>
          </cell>
          <cell r="N247" t="str">
            <v>25016-2024-0-1828-JR-CO-13</v>
          </cell>
          <cell r="O247" t="str">
            <v xml:space="preserve">13° juzgado civil comercial   </v>
          </cell>
          <cell r="P247" t="str">
            <v>2024.08.14</v>
          </cell>
          <cell r="Q247">
            <v>17499.439999999999</v>
          </cell>
          <cell r="R247" t="str">
            <v>PRESENTACION DE LA DEMANDA</v>
          </cell>
          <cell r="S247">
            <v>12899.44</v>
          </cell>
        </row>
        <row r="248">
          <cell r="E248" t="str">
            <v>107049101002103593</v>
          </cell>
          <cell r="F248" t="str">
            <v>MENDOZA HEREDIA, JUANA</v>
          </cell>
          <cell r="G248" t="str">
            <v xml:space="preserve">-  </v>
          </cell>
          <cell r="H248">
            <v>0</v>
          </cell>
          <cell r="I248" t="str">
            <v>-</v>
          </cell>
          <cell r="J248">
            <v>0</v>
          </cell>
          <cell r="K248" t="str">
            <v>NO</v>
          </cell>
          <cell r="L248">
            <v>0</v>
          </cell>
          <cell r="M248">
            <v>0</v>
          </cell>
          <cell r="N248" t="str">
            <v>00220-2020-43-3001-JR-CI-01</v>
          </cell>
          <cell r="O248" t="str">
            <v>JUZGADO CIVL VILLA MARIA DEL T</v>
          </cell>
          <cell r="P248" t="str">
            <v>2020.10.23</v>
          </cell>
          <cell r="Q248">
            <v>54199</v>
          </cell>
          <cell r="R248" t="str">
            <v>PRESENTACION DE LA DEMANDA</v>
          </cell>
          <cell r="S248">
            <v>48161.79</v>
          </cell>
        </row>
        <row r="249">
          <cell r="E249" t="str">
            <v>107172101000809573</v>
          </cell>
          <cell r="F249" t="str">
            <v>PAJUELO SOTO, AURIA</v>
          </cell>
          <cell r="G249" t="str">
            <v>012</v>
          </cell>
          <cell r="H249">
            <v>12</v>
          </cell>
          <cell r="I249" t="str">
            <v>2026.06.28</v>
          </cell>
          <cell r="J249">
            <v>22000.99</v>
          </cell>
          <cell r="K249" t="str">
            <v>NO</v>
          </cell>
          <cell r="L249">
            <v>3</v>
          </cell>
          <cell r="M249">
            <v>41501.269999999997</v>
          </cell>
          <cell r="N249" t="str">
            <v>00771-2024-0-3001-JR-CI-01</v>
          </cell>
          <cell r="O249" t="str">
            <v>JUZGADO ESPECIALIZADO CIVIL VM</v>
          </cell>
          <cell r="P249" t="str">
            <v>2024.07.05</v>
          </cell>
          <cell r="Q249">
            <v>34295.54</v>
          </cell>
          <cell r="R249" t="str">
            <v>PRESENTACION DE LA DEMANDA</v>
          </cell>
          <cell r="S249">
            <v>12228.41</v>
          </cell>
        </row>
        <row r="250">
          <cell r="E250" t="str">
            <v>107172101001052992</v>
          </cell>
          <cell r="F250" t="str">
            <v>PALOMINO SALAS, HANZ ROMER</v>
          </cell>
          <cell r="G250" t="str">
            <v xml:space="preserve">-  </v>
          </cell>
          <cell r="H250">
            <v>0</v>
          </cell>
          <cell r="I250" t="str">
            <v>-</v>
          </cell>
          <cell r="J250">
            <v>0</v>
          </cell>
          <cell r="K250" t="str">
            <v>NO</v>
          </cell>
          <cell r="L250">
            <v>0</v>
          </cell>
          <cell r="M250">
            <v>0</v>
          </cell>
          <cell r="N250" t="str">
            <v>02598-2025-27-1866-JP-CI-02</v>
          </cell>
          <cell r="O250" t="str">
            <v>2DO JZ. PAZ LETRADO BAR- MIR</v>
          </cell>
          <cell r="P250" t="str">
            <v>2025.06.26</v>
          </cell>
          <cell r="Q250">
            <v>30628.95</v>
          </cell>
          <cell r="R250" t="str">
            <v>PRESENTACION DE LA DEMANDA</v>
          </cell>
          <cell r="S250">
            <v>28495.98</v>
          </cell>
        </row>
        <row r="251">
          <cell r="E251" t="str">
            <v>107172101001216843</v>
          </cell>
          <cell r="F251" t="str">
            <v>PAREDES CUBAS, AUGUSTO BERNARDINO</v>
          </cell>
          <cell r="G251" t="str">
            <v xml:space="preserve">-  </v>
          </cell>
          <cell r="H251">
            <v>0</v>
          </cell>
          <cell r="I251" t="str">
            <v>-</v>
          </cell>
          <cell r="J251">
            <v>0</v>
          </cell>
          <cell r="K251" t="str">
            <v>NO</v>
          </cell>
          <cell r="L251">
            <v>0</v>
          </cell>
          <cell r="M251">
            <v>0</v>
          </cell>
          <cell r="N251" t="str">
            <v>05292-2026-0-1828-JR-CO-16</v>
          </cell>
          <cell r="O251" t="str">
            <v xml:space="preserve">16° J CIVIL COMERCIAL </v>
          </cell>
          <cell r="P251" t="str">
            <v>2026.02.24</v>
          </cell>
          <cell r="Q251">
            <v>148481.01</v>
          </cell>
          <cell r="R251" t="str">
            <v>PRESENTACION DE LA DEMANDA</v>
          </cell>
          <cell r="S251">
            <v>49292.93</v>
          </cell>
        </row>
        <row r="252">
          <cell r="E252" t="str">
            <v>107172101001222731</v>
          </cell>
          <cell r="F252" t="str">
            <v>PAREDES MEDINA, YOSELYN LEONOR</v>
          </cell>
          <cell r="G252" t="str">
            <v xml:space="preserve">-  </v>
          </cell>
          <cell r="H252">
            <v>0</v>
          </cell>
          <cell r="I252" t="str">
            <v>-</v>
          </cell>
          <cell r="J252">
            <v>0</v>
          </cell>
          <cell r="K252" t="str">
            <v>NO</v>
          </cell>
          <cell r="L252">
            <v>0</v>
          </cell>
          <cell r="M252">
            <v>0</v>
          </cell>
          <cell r="N252" t="str">
            <v>05292-2026-0-1828-JR-CO-16</v>
          </cell>
          <cell r="O252" t="str">
            <v>16 J COMERCIAL LIMA</v>
          </cell>
          <cell r="P252" t="str">
            <v>2026.02.24</v>
          </cell>
          <cell r="Q252">
            <v>53903.78</v>
          </cell>
          <cell r="R252" t="str">
            <v>PRESENTACION DE LA DEMANDA</v>
          </cell>
          <cell r="S252">
            <v>36753.160000000003</v>
          </cell>
        </row>
        <row r="253">
          <cell r="E253" t="str">
            <v>107172101000064196</v>
          </cell>
          <cell r="F253" t="str">
            <v>PEREZ SANANCINO, JUAN CARLOS</v>
          </cell>
          <cell r="G253" t="str">
            <v xml:space="preserve">-  </v>
          </cell>
          <cell r="H253">
            <v>0</v>
          </cell>
          <cell r="I253" t="str">
            <v>-</v>
          </cell>
          <cell r="J253">
            <v>0</v>
          </cell>
          <cell r="K253" t="str">
            <v>NO</v>
          </cell>
          <cell r="L253">
            <v>0</v>
          </cell>
          <cell r="M253">
            <v>0</v>
          </cell>
          <cell r="N253" t="str">
            <v>00335-2024-58-3001-JP-CI-01</v>
          </cell>
          <cell r="O253" t="str">
            <v xml:space="preserve">JUZGADO PAZ LETRADO CIVIL VMT </v>
          </cell>
          <cell r="P253" t="str">
            <v>2024.04.22</v>
          </cell>
          <cell r="Q253">
            <v>23000</v>
          </cell>
          <cell r="R253" t="str">
            <v>PRESENTACION DE LA DEMANDA</v>
          </cell>
          <cell r="S253">
            <v>12293.85</v>
          </cell>
        </row>
        <row r="254">
          <cell r="E254" t="str">
            <v>107172101000749269</v>
          </cell>
          <cell r="F254" t="str">
            <v>PIZARRO FEBRES, ELMORA JESUS</v>
          </cell>
          <cell r="G254" t="str">
            <v xml:space="preserve">-  </v>
          </cell>
          <cell r="H254">
            <v>0</v>
          </cell>
          <cell r="I254" t="str">
            <v>-</v>
          </cell>
          <cell r="J254">
            <v>0</v>
          </cell>
          <cell r="K254" t="str">
            <v>NO</v>
          </cell>
          <cell r="L254">
            <v>0</v>
          </cell>
          <cell r="M254">
            <v>0</v>
          </cell>
          <cell r="N254" t="str">
            <v>00715-2023-34-3001-JR-CI-01</v>
          </cell>
          <cell r="O254" t="str">
            <v>JUZGADO ESPECIALIZADO CIVIL VM</v>
          </cell>
          <cell r="P254" t="str">
            <v>2023.10.10</v>
          </cell>
          <cell r="Q254">
            <v>80000</v>
          </cell>
          <cell r="R254" t="str">
            <v>PRESENTACION DE LA DEMANDA</v>
          </cell>
          <cell r="S254">
            <v>71361.88</v>
          </cell>
        </row>
        <row r="255">
          <cell r="E255" t="str">
            <v>107172101001025536</v>
          </cell>
          <cell r="F255" t="str">
            <v>QUISPE DAMIAN, DIANA EDITH</v>
          </cell>
          <cell r="G255" t="str">
            <v xml:space="preserve">-  </v>
          </cell>
          <cell r="H255">
            <v>0</v>
          </cell>
          <cell r="I255" t="str">
            <v>-</v>
          </cell>
          <cell r="J255">
            <v>0</v>
          </cell>
          <cell r="K255" t="str">
            <v>NO</v>
          </cell>
          <cell r="L255">
            <v>0</v>
          </cell>
          <cell r="M255">
            <v>0</v>
          </cell>
          <cell r="N255" t="str">
            <v>06877-2026-99-1828-JR-CO-12</v>
          </cell>
          <cell r="O255" t="str">
            <v xml:space="preserve">12° juzgado civil comercial </v>
          </cell>
          <cell r="P255" t="str">
            <v>2026.03.23</v>
          </cell>
          <cell r="Q255">
            <v>62000</v>
          </cell>
          <cell r="R255" t="str">
            <v>PRESENTACION DE LA DEMANDA</v>
          </cell>
          <cell r="S255">
            <v>62000</v>
          </cell>
        </row>
        <row r="256">
          <cell r="E256" t="str">
            <v>107172101001041857</v>
          </cell>
          <cell r="F256" t="str">
            <v>QUISPE DAMIAN, ERIKA SANDRA</v>
          </cell>
          <cell r="G256" t="str">
            <v xml:space="preserve">-  </v>
          </cell>
          <cell r="H256">
            <v>0</v>
          </cell>
          <cell r="I256" t="str">
            <v>-</v>
          </cell>
          <cell r="J256">
            <v>0</v>
          </cell>
          <cell r="K256" t="str">
            <v>NO</v>
          </cell>
          <cell r="L256">
            <v>0</v>
          </cell>
          <cell r="M256">
            <v>0</v>
          </cell>
          <cell r="N256" t="str">
            <v>00602-2024-87-3001-JP-CI-01</v>
          </cell>
          <cell r="O256" t="str">
            <v xml:space="preserve">JUZGADO PAZ LETRADO CIVIL VMT </v>
          </cell>
          <cell r="P256" t="str">
            <v>2024.06.28</v>
          </cell>
          <cell r="Q256">
            <v>34000</v>
          </cell>
          <cell r="R256" t="str">
            <v>PRESENTACION DE LA DEMANDA</v>
          </cell>
          <cell r="S256">
            <v>31068.82</v>
          </cell>
        </row>
        <row r="257">
          <cell r="E257" t="str">
            <v>107172101000097849</v>
          </cell>
          <cell r="F257" t="str">
            <v>RUIZ SANCHEZ, LEITHER JHUL</v>
          </cell>
          <cell r="G257" t="str">
            <v>002</v>
          </cell>
          <cell r="H257">
            <v>12</v>
          </cell>
          <cell r="I257" t="str">
            <v>2026.07.22</v>
          </cell>
          <cell r="J257">
            <v>886.8</v>
          </cell>
          <cell r="K257" t="str">
            <v>SI</v>
          </cell>
          <cell r="L257">
            <v>0</v>
          </cell>
          <cell r="M257">
            <v>35020.74</v>
          </cell>
          <cell r="N257" t="str">
            <v>00466-2024-0-3001-JR-CI-01</v>
          </cell>
          <cell r="O257" t="str">
            <v>JUZGADO ESPECIALIZADO CIVIL VM</v>
          </cell>
          <cell r="P257" t="str">
            <v>2024.04.25</v>
          </cell>
          <cell r="Q257">
            <v>150000</v>
          </cell>
          <cell r="R257" t="str">
            <v>PRESENTACION DE LA DEMANDA</v>
          </cell>
          <cell r="S257">
            <v>552.77</v>
          </cell>
        </row>
        <row r="258">
          <cell r="E258" t="str">
            <v>107172101001172602</v>
          </cell>
          <cell r="F258" t="str">
            <v>SOTOMAYOR DURAND, ELEODORO SERAFIN</v>
          </cell>
          <cell r="G258" t="str">
            <v xml:space="preserve">-  </v>
          </cell>
          <cell r="H258">
            <v>0</v>
          </cell>
          <cell r="I258" t="str">
            <v>-</v>
          </cell>
          <cell r="J258">
            <v>0</v>
          </cell>
          <cell r="K258" t="str">
            <v>NO</v>
          </cell>
          <cell r="L258">
            <v>0</v>
          </cell>
          <cell r="M258">
            <v>0</v>
          </cell>
          <cell r="N258" t="str">
            <v>01737-2025-23-1866-JP-CI-02</v>
          </cell>
          <cell r="O258" t="str">
            <v>2DO JZ. PAZ LETRADO BAR- MIR</v>
          </cell>
          <cell r="P258" t="str">
            <v>2025.05.13</v>
          </cell>
          <cell r="Q258">
            <v>25654.65</v>
          </cell>
          <cell r="R258" t="str">
            <v>PRESENTACION DE LA DEMANDA</v>
          </cell>
          <cell r="S258">
            <v>17154.650000000001</v>
          </cell>
        </row>
        <row r="259">
          <cell r="E259" t="str">
            <v>107172101000856604</v>
          </cell>
          <cell r="F259" t="str">
            <v>VALDERRAMA PEREZ, ORLANDO GUSTAVO</v>
          </cell>
          <cell r="G259" t="str">
            <v>004</v>
          </cell>
          <cell r="H259">
            <v>12</v>
          </cell>
          <cell r="I259" t="str">
            <v>2026.07.30</v>
          </cell>
          <cell r="J259">
            <v>1199.8</v>
          </cell>
          <cell r="K259" t="str">
            <v>SI</v>
          </cell>
          <cell r="L259">
            <v>0</v>
          </cell>
          <cell r="M259">
            <v>33450.32</v>
          </cell>
          <cell r="N259" t="str">
            <v>00106-2025-17-3001-JP-CI-01</v>
          </cell>
          <cell r="O259" t="str">
            <v xml:space="preserve">JUZGADO PAZ LETRADO CIVIL VMT </v>
          </cell>
          <cell r="P259" t="str">
            <v>2025.02.07</v>
          </cell>
          <cell r="Q259">
            <v>26296</v>
          </cell>
          <cell r="R259" t="str">
            <v>PRESENTACION DE LA DEMANDA</v>
          </cell>
          <cell r="S259">
            <v>17193.45</v>
          </cell>
        </row>
        <row r="260">
          <cell r="E260" t="str">
            <v>107178101001166437</v>
          </cell>
          <cell r="F260" t="str">
            <v>AUQUE ESCAJADILLO, ELIZABETH LOURDES</v>
          </cell>
          <cell r="G260" t="str">
            <v xml:space="preserve">-  </v>
          </cell>
          <cell r="H260">
            <v>0</v>
          </cell>
          <cell r="I260" t="str">
            <v>-</v>
          </cell>
          <cell r="J260">
            <v>0</v>
          </cell>
          <cell r="K260" t="str">
            <v>NO</v>
          </cell>
          <cell r="L260">
            <v>0</v>
          </cell>
          <cell r="M260">
            <v>0</v>
          </cell>
          <cell r="N260" t="str">
            <v>00032-2026</v>
          </cell>
          <cell r="O260" t="str">
            <v xml:space="preserve">JPL VILLA MARIA DEL TRIUNFO   </v>
          </cell>
          <cell r="P260" t="str">
            <v/>
          </cell>
          <cell r="Q260">
            <v>0</v>
          </cell>
          <cell r="R260" t="str">
            <v>PRESENTACION DE LA DEMANDA</v>
          </cell>
          <cell r="S260">
            <v>38939.279999999999</v>
          </cell>
        </row>
        <row r="261">
          <cell r="E261" t="str">
            <v>107178101000984256</v>
          </cell>
          <cell r="F261" t="str">
            <v>AUQUI RUIZ, PETER</v>
          </cell>
          <cell r="G261" t="str">
            <v xml:space="preserve">-  </v>
          </cell>
          <cell r="H261">
            <v>0</v>
          </cell>
          <cell r="I261" t="str">
            <v>-</v>
          </cell>
          <cell r="J261">
            <v>0</v>
          </cell>
          <cell r="K261" t="str">
            <v>NO</v>
          </cell>
          <cell r="L261">
            <v>0</v>
          </cell>
          <cell r="M261">
            <v>0</v>
          </cell>
          <cell r="N261" t="str">
            <v xml:space="preserve">          </v>
          </cell>
          <cell r="O261" t="str">
            <v/>
          </cell>
          <cell r="P261" t="str">
            <v/>
          </cell>
          <cell r="Q261">
            <v>0</v>
          </cell>
          <cell r="R261" t="str">
            <v/>
          </cell>
          <cell r="S261">
            <v>28275.39</v>
          </cell>
        </row>
        <row r="262">
          <cell r="E262" t="str">
            <v>107178101000494727</v>
          </cell>
          <cell r="F262" t="str">
            <v>BRAVO ARIAS, MARITZA GRACIELA</v>
          </cell>
          <cell r="G262" t="str">
            <v>002</v>
          </cell>
          <cell r="H262">
            <v>16</v>
          </cell>
          <cell r="I262" t="str">
            <v>2026.07.26</v>
          </cell>
          <cell r="J262">
            <v>620</v>
          </cell>
          <cell r="K262" t="str">
            <v>SI</v>
          </cell>
          <cell r="L262">
            <v>0</v>
          </cell>
          <cell r="M262">
            <v>11581.19</v>
          </cell>
          <cell r="N262" t="str">
            <v>00660-2024-82-3001-JP-CI-01</v>
          </cell>
          <cell r="O262" t="str">
            <v xml:space="preserve">JPL VILLA MARIA DEL TRIUNFO   </v>
          </cell>
          <cell r="P262" t="str">
            <v>2024.07.18</v>
          </cell>
          <cell r="Q262">
            <v>9480.44</v>
          </cell>
          <cell r="R262" t="str">
            <v>PRESENTACION DE LA DEMANDA</v>
          </cell>
          <cell r="S262">
            <v>4862.8500000000004</v>
          </cell>
        </row>
        <row r="263">
          <cell r="E263" t="str">
            <v>107178101000636236</v>
          </cell>
          <cell r="F263" t="str">
            <v>BRITO PEREZ, MARIA DE JESUS</v>
          </cell>
          <cell r="G263" t="str">
            <v>003</v>
          </cell>
          <cell r="H263">
            <v>24</v>
          </cell>
          <cell r="I263" t="str">
            <v>2026.07.27</v>
          </cell>
          <cell r="J263">
            <v>505</v>
          </cell>
          <cell r="K263" t="str">
            <v>SI</v>
          </cell>
          <cell r="L263">
            <v>0</v>
          </cell>
          <cell r="M263">
            <v>15281.28</v>
          </cell>
          <cell r="N263" t="str">
            <v>00392-2024-1-3002-JP-CI-02</v>
          </cell>
          <cell r="O263" t="str">
            <v>8 JUZGADO PAZ LETRADO SAN JUAN</v>
          </cell>
          <cell r="P263" t="str">
            <v>2024.05.16</v>
          </cell>
          <cell r="Q263">
            <v>15860.43</v>
          </cell>
          <cell r="R263" t="str">
            <v>PRESENTACION DE LA DEMANDA</v>
          </cell>
          <cell r="S263">
            <v>5440.82</v>
          </cell>
        </row>
        <row r="264">
          <cell r="E264" t="str">
            <v>107178101000993442</v>
          </cell>
          <cell r="F264" t="str">
            <v>CALDERON ANGELES, SANDRA BEATRIZ</v>
          </cell>
          <cell r="G264" t="str">
            <v>010</v>
          </cell>
          <cell r="H264">
            <v>12</v>
          </cell>
          <cell r="I264" t="str">
            <v>2026.07.30</v>
          </cell>
          <cell r="J264">
            <v>500</v>
          </cell>
          <cell r="K264" t="str">
            <v>SI</v>
          </cell>
          <cell r="L264">
            <v>0</v>
          </cell>
          <cell r="M264">
            <v>29643.27</v>
          </cell>
          <cell r="N264" t="str">
            <v>01216-2025-0-1820-JP-CI-04</v>
          </cell>
          <cell r="O264" t="str">
            <v>4° JUZG PL SEDE LINCE-SEAN ISI</v>
          </cell>
          <cell r="P264" t="str">
            <v>2025.07.31</v>
          </cell>
          <cell r="Q264">
            <v>28564.51</v>
          </cell>
          <cell r="R264" t="str">
            <v>PRESENTACION DE LA DEMANDA</v>
          </cell>
          <cell r="S264">
            <v>19780.04</v>
          </cell>
        </row>
        <row r="265">
          <cell r="E265" t="str">
            <v>107178101000566884</v>
          </cell>
          <cell r="F265" t="str">
            <v>CASTILLA LARICO, PEDRO ABEL</v>
          </cell>
          <cell r="G265" t="str">
            <v xml:space="preserve">-  </v>
          </cell>
          <cell r="H265">
            <v>0</v>
          </cell>
          <cell r="I265" t="str">
            <v>-</v>
          </cell>
          <cell r="J265">
            <v>0</v>
          </cell>
          <cell r="K265" t="str">
            <v>NO</v>
          </cell>
          <cell r="L265">
            <v>0</v>
          </cell>
          <cell r="M265">
            <v>0</v>
          </cell>
          <cell r="N265" t="str">
            <v>00359-2024-51-3002-JP-CI-02</v>
          </cell>
          <cell r="O265" t="str">
            <v xml:space="preserve">JPL SAN JUAN DE MIRAFLORES    </v>
          </cell>
          <cell r="P265" t="str">
            <v>2024.05.08</v>
          </cell>
          <cell r="Q265">
            <v>41066.46</v>
          </cell>
          <cell r="R265" t="str">
            <v>PRESENTACION DE LA DEMANDA</v>
          </cell>
          <cell r="S265">
            <v>38895.629999999997</v>
          </cell>
        </row>
        <row r="266">
          <cell r="E266" t="str">
            <v>107178101000644156</v>
          </cell>
          <cell r="F266" t="str">
            <v>CHATTA YANQUI, BENIGNO</v>
          </cell>
          <cell r="G266" t="str">
            <v xml:space="preserve">-  </v>
          </cell>
          <cell r="H266">
            <v>0</v>
          </cell>
          <cell r="I266" t="str">
            <v>-</v>
          </cell>
          <cell r="J266">
            <v>0</v>
          </cell>
          <cell r="K266" t="str">
            <v>NO</v>
          </cell>
          <cell r="L266">
            <v>0</v>
          </cell>
          <cell r="M266">
            <v>0</v>
          </cell>
          <cell r="N266" t="str">
            <v>00311-2025-92-1866-JP-CI-02</v>
          </cell>
          <cell r="O266" t="str">
            <v xml:space="preserve">JUZGADO PAZ LETRADO BARRANCO  </v>
          </cell>
          <cell r="P266" t="str">
            <v>2025.04.11</v>
          </cell>
          <cell r="Q266">
            <v>18952.990000000002</v>
          </cell>
          <cell r="R266" t="str">
            <v>PRESENTACION DE LA DEMANDA</v>
          </cell>
          <cell r="S266">
            <v>476.94</v>
          </cell>
        </row>
        <row r="267">
          <cell r="E267" t="str">
            <v>107178101000932300</v>
          </cell>
          <cell r="F267" t="str">
            <v>FINQUIN MENDEZ, MARGOT JANET</v>
          </cell>
          <cell r="G267" t="str">
            <v>002</v>
          </cell>
          <cell r="H267">
            <v>12</v>
          </cell>
          <cell r="I267" t="str">
            <v>2026.07.29</v>
          </cell>
          <cell r="J267">
            <v>1375.9</v>
          </cell>
          <cell r="K267" t="str">
            <v>SI</v>
          </cell>
          <cell r="L267">
            <v>0</v>
          </cell>
          <cell r="M267">
            <v>21915.23</v>
          </cell>
          <cell r="N267" t="str">
            <v>04184-2025-60-1866-JP-CI-03</v>
          </cell>
          <cell r="O267" t="str">
            <v xml:space="preserve">3°JPL - SEDE BARRANCO </v>
          </cell>
          <cell r="P267" t="str">
            <v>2025.09.10</v>
          </cell>
          <cell r="Q267">
            <v>23032.32</v>
          </cell>
          <cell r="R267" t="str">
            <v>PRESENTACION DE LA DEMANDA</v>
          </cell>
          <cell r="S267">
            <v>10777.29</v>
          </cell>
        </row>
        <row r="268">
          <cell r="E268" t="str">
            <v>107178101000751721</v>
          </cell>
          <cell r="F268" t="str">
            <v>GARCIA REATEGUI, JOSE LUIS</v>
          </cell>
          <cell r="G268" t="str">
            <v xml:space="preserve">-  </v>
          </cell>
          <cell r="H268">
            <v>0</v>
          </cell>
          <cell r="I268" t="str">
            <v>-</v>
          </cell>
          <cell r="J268">
            <v>0</v>
          </cell>
          <cell r="K268" t="str">
            <v>NO</v>
          </cell>
          <cell r="L268">
            <v>0</v>
          </cell>
          <cell r="M268">
            <v>0</v>
          </cell>
          <cell r="N268" t="str">
            <v>00080-2026-41-1825-JP-CO-03</v>
          </cell>
          <cell r="O268" t="str">
            <v>3° JPL (SEDE SURCO-SAN BORJA)</v>
          </cell>
          <cell r="P268" t="str">
            <v>2026.03.12</v>
          </cell>
          <cell r="Q268">
            <v>24861.51</v>
          </cell>
          <cell r="R268" t="str">
            <v>PRESENTACION DE LA DEMANDA</v>
          </cell>
          <cell r="S268">
            <v>23103.9</v>
          </cell>
        </row>
        <row r="269">
          <cell r="E269" t="str">
            <v>107178101000726541</v>
          </cell>
          <cell r="F269" t="str">
            <v>GARCIA TORRES, ALEXIS ROBERTO</v>
          </cell>
          <cell r="G269" t="str">
            <v xml:space="preserve">-  </v>
          </cell>
          <cell r="H269">
            <v>0</v>
          </cell>
          <cell r="I269" t="str">
            <v>-</v>
          </cell>
          <cell r="J269">
            <v>0</v>
          </cell>
          <cell r="K269" t="str">
            <v>NO</v>
          </cell>
          <cell r="L269">
            <v>0</v>
          </cell>
          <cell r="M269">
            <v>0</v>
          </cell>
          <cell r="N269" t="str">
            <v>00556-2024-38-3001-JP-CI-01</v>
          </cell>
          <cell r="O269" t="str">
            <v xml:space="preserve">JPL VILLA MARIA DEL TRIUNFO   </v>
          </cell>
          <cell r="P269" t="str">
            <v>2024.06.12</v>
          </cell>
          <cell r="Q269">
            <v>15127.27</v>
          </cell>
          <cell r="R269" t="str">
            <v>PRESENTACION DE LA DEMANDA</v>
          </cell>
          <cell r="S269">
            <v>13558.86</v>
          </cell>
        </row>
        <row r="270">
          <cell r="E270" t="str">
            <v>107178101000255891</v>
          </cell>
          <cell r="F270" t="str">
            <v>JHOE SERVICIOS &amp; CALIDAD EIRL</v>
          </cell>
          <cell r="G270" t="str">
            <v xml:space="preserve">-  </v>
          </cell>
          <cell r="H270">
            <v>0</v>
          </cell>
          <cell r="I270" t="str">
            <v>-</v>
          </cell>
          <cell r="J270">
            <v>0</v>
          </cell>
          <cell r="K270" t="str">
            <v>NO</v>
          </cell>
          <cell r="L270">
            <v>0</v>
          </cell>
          <cell r="M270">
            <v>0</v>
          </cell>
          <cell r="N270" t="str">
            <v>00874-2023-21-3002-JP-CI-02</v>
          </cell>
          <cell r="O270" t="str">
            <v xml:space="preserve">JPL SAN JUAN DE MIRAFLORES    </v>
          </cell>
          <cell r="P270" t="str">
            <v>2023.09.27</v>
          </cell>
          <cell r="Q270">
            <v>38948.51</v>
          </cell>
          <cell r="R270" t="str">
            <v>PRESENTACION DE LA DEMANDA</v>
          </cell>
          <cell r="S270">
            <v>36324.97</v>
          </cell>
        </row>
        <row r="271">
          <cell r="E271" t="str">
            <v>107178101000383550</v>
          </cell>
          <cell r="F271" t="str">
            <v>LANDA ZAPATA, GINO FABRIZIO</v>
          </cell>
          <cell r="G271" t="str">
            <v>002</v>
          </cell>
          <cell r="H271">
            <v>6</v>
          </cell>
          <cell r="I271" t="str">
            <v>2026.07.23</v>
          </cell>
          <cell r="J271">
            <v>1674.9</v>
          </cell>
          <cell r="K271" t="str">
            <v>SI</v>
          </cell>
          <cell r="L271">
            <v>0</v>
          </cell>
          <cell r="M271">
            <v>16553.21</v>
          </cell>
          <cell r="N271" t="str">
            <v>00956-2025-44-3002-JP-CI-02</v>
          </cell>
          <cell r="O271" t="str">
            <v xml:space="preserve">JPL SAN JUAN DE MIRAFLORES    </v>
          </cell>
          <cell r="P271" t="str">
            <v>2025.12.10</v>
          </cell>
          <cell r="Q271">
            <v>17551.080000000002</v>
          </cell>
          <cell r="R271" t="str">
            <v>PRESENTACION DE LA DEMANDA</v>
          </cell>
          <cell r="S271">
            <v>6640.99</v>
          </cell>
        </row>
        <row r="272">
          <cell r="E272" t="str">
            <v>107178101001036847</v>
          </cell>
          <cell r="F272" t="str">
            <v>LANDA ZAPATA, GINO FABRIZIO</v>
          </cell>
          <cell r="G272" t="str">
            <v xml:space="preserve">-  </v>
          </cell>
          <cell r="H272">
            <v>0</v>
          </cell>
          <cell r="I272" t="str">
            <v>-</v>
          </cell>
          <cell r="J272">
            <v>0</v>
          </cell>
          <cell r="K272" t="str">
            <v>NO</v>
          </cell>
          <cell r="L272">
            <v>0</v>
          </cell>
          <cell r="M272">
            <v>0</v>
          </cell>
          <cell r="N272" t="str">
            <v>09782-2025-0-1828-JR-CO-03</v>
          </cell>
          <cell r="O272" t="str">
            <v>3 JUZ CIVIL- COMERCIAL</v>
          </cell>
          <cell r="P272" t="str">
            <v>2025.05.05</v>
          </cell>
          <cell r="Q272">
            <v>35973.699999999997</v>
          </cell>
          <cell r="R272" t="str">
            <v>PRESENTACION DE LA DEMANDA</v>
          </cell>
          <cell r="S272">
            <v>22316.400000000001</v>
          </cell>
        </row>
        <row r="273">
          <cell r="E273" t="str">
            <v>107178101000591761</v>
          </cell>
          <cell r="F273" t="str">
            <v>LLACCTA ZELA, BIVIANA</v>
          </cell>
          <cell r="G273" t="str">
            <v>008</v>
          </cell>
          <cell r="H273">
            <v>11</v>
          </cell>
          <cell r="I273" t="str">
            <v>2026.07.11</v>
          </cell>
          <cell r="J273">
            <v>1972.66</v>
          </cell>
          <cell r="K273" t="str">
            <v>SI</v>
          </cell>
          <cell r="L273">
            <v>0</v>
          </cell>
          <cell r="M273">
            <v>45493.88</v>
          </cell>
          <cell r="N273" t="str">
            <v>00390-2024-23-3002-JR-CI-01</v>
          </cell>
          <cell r="O273" t="str">
            <v xml:space="preserve">JUZGADO CIVIL SJM             </v>
          </cell>
          <cell r="P273" t="str">
            <v>2024.07.18</v>
          </cell>
          <cell r="Q273">
            <v>54502.239999999998</v>
          </cell>
          <cell r="R273" t="str">
            <v>PRESENTACION DE LA DEMANDA</v>
          </cell>
          <cell r="S273">
            <v>908.95</v>
          </cell>
        </row>
        <row r="274">
          <cell r="E274" t="str">
            <v>107178101000212876</v>
          </cell>
          <cell r="F274" t="str">
            <v>MALPARTIDA HILARIO, JORDY DAVID</v>
          </cell>
          <cell r="G274" t="str">
            <v xml:space="preserve">-  </v>
          </cell>
          <cell r="H274">
            <v>0</v>
          </cell>
          <cell r="I274" t="str">
            <v>-</v>
          </cell>
          <cell r="J274">
            <v>0</v>
          </cell>
          <cell r="K274" t="str">
            <v>NO</v>
          </cell>
          <cell r="L274">
            <v>0</v>
          </cell>
          <cell r="M274">
            <v>0</v>
          </cell>
          <cell r="N274" t="str">
            <v>00703-2024-35-3001-JP-CI-01</v>
          </cell>
          <cell r="O274" t="str">
            <v xml:space="preserve">JPL VILLA MARIA DEL TRIUNFO   </v>
          </cell>
          <cell r="P274" t="str">
            <v>2024.07.30</v>
          </cell>
          <cell r="Q274">
            <v>21323.37</v>
          </cell>
          <cell r="R274" t="str">
            <v>PRESENTACION DE LA DEMANDA</v>
          </cell>
          <cell r="S274">
            <v>19902.68</v>
          </cell>
        </row>
        <row r="275">
          <cell r="E275" t="str">
            <v>107178101000402160</v>
          </cell>
          <cell r="F275" t="str">
            <v>MAMANI SOTO, ORTENCIA</v>
          </cell>
          <cell r="G275" t="str">
            <v>007</v>
          </cell>
          <cell r="H275">
            <v>18</v>
          </cell>
          <cell r="I275" t="str">
            <v>2026.07.31</v>
          </cell>
          <cell r="J275">
            <v>951.99</v>
          </cell>
          <cell r="K275" t="str">
            <v>SI</v>
          </cell>
          <cell r="L275">
            <v>0</v>
          </cell>
          <cell r="M275">
            <v>19169.41</v>
          </cell>
          <cell r="N275" t="str">
            <v>05010-2025-27-1866-JP-CI-03</v>
          </cell>
          <cell r="O275" t="str">
            <v xml:space="preserve">3°JPL - SEDE BARRANCO </v>
          </cell>
          <cell r="P275" t="str">
            <v>2025.10.21</v>
          </cell>
          <cell r="Q275">
            <v>17839.86</v>
          </cell>
          <cell r="R275" t="str">
            <v>PRESENTACION DE LA DEMANDA</v>
          </cell>
          <cell r="S275">
            <v>9511.35</v>
          </cell>
        </row>
        <row r="276">
          <cell r="E276" t="str">
            <v>107178101000280718</v>
          </cell>
          <cell r="F276" t="str">
            <v>MEDINA TANTAVILCA, SEMORINA</v>
          </cell>
          <cell r="G276" t="str">
            <v xml:space="preserve">-  </v>
          </cell>
          <cell r="H276">
            <v>0</v>
          </cell>
          <cell r="I276" t="str">
            <v>-</v>
          </cell>
          <cell r="J276">
            <v>0</v>
          </cell>
          <cell r="K276" t="str">
            <v>NO</v>
          </cell>
          <cell r="L276">
            <v>0</v>
          </cell>
          <cell r="M276">
            <v>0</v>
          </cell>
          <cell r="N276" t="str">
            <v>30733-2023-59-1817-JR-CO-01</v>
          </cell>
          <cell r="O276" t="str">
            <v xml:space="preserve">1° JUZGADO COMERCIAL LIMA     </v>
          </cell>
          <cell r="P276" t="str">
            <v>2023.12.29</v>
          </cell>
          <cell r="Q276">
            <v>50158.78</v>
          </cell>
          <cell r="R276" t="str">
            <v>PRESENTACION DE LA DEMANDA</v>
          </cell>
          <cell r="S276">
            <v>47677.26</v>
          </cell>
        </row>
        <row r="277">
          <cell r="E277" t="str">
            <v>107178101000031255</v>
          </cell>
          <cell r="F277" t="str">
            <v>MEJIA HUARALLOCLLE, WILBER</v>
          </cell>
          <cell r="G277" t="str">
            <v xml:space="preserve">-  </v>
          </cell>
          <cell r="H277">
            <v>0</v>
          </cell>
          <cell r="I277" t="str">
            <v>-</v>
          </cell>
          <cell r="J277">
            <v>0</v>
          </cell>
          <cell r="K277" t="str">
            <v>NO</v>
          </cell>
          <cell r="L277">
            <v>0</v>
          </cell>
          <cell r="M277">
            <v>0</v>
          </cell>
          <cell r="N277" t="str">
            <v>00937-2023-41-3002-JP-CI-02</v>
          </cell>
          <cell r="O277" t="str">
            <v xml:space="preserve">JPL SAN JUAN DE MIRAFLORES    </v>
          </cell>
          <cell r="P277" t="str">
            <v>2023.10.13</v>
          </cell>
          <cell r="Q277">
            <v>13900.3</v>
          </cell>
          <cell r="R277" t="str">
            <v>PRESENTACION DE LA DEMANDA</v>
          </cell>
          <cell r="S277">
            <v>11750.53</v>
          </cell>
        </row>
        <row r="278">
          <cell r="E278" t="str">
            <v>107178101001012449</v>
          </cell>
          <cell r="F278" t="str">
            <v>MORENO YUNGAGALLO, MOISES OSCAR</v>
          </cell>
          <cell r="G278" t="str">
            <v>002</v>
          </cell>
          <cell r="H278">
            <v>12</v>
          </cell>
          <cell r="I278" t="str">
            <v>2026.07.25</v>
          </cell>
          <cell r="J278">
            <v>999.98</v>
          </cell>
          <cell r="K278" t="str">
            <v>SI</v>
          </cell>
          <cell r="L278">
            <v>0</v>
          </cell>
          <cell r="M278">
            <v>31952.94</v>
          </cell>
          <cell r="N278" t="str">
            <v>00259-2026-60-3002-JP-CI-02</v>
          </cell>
          <cell r="O278" t="str">
            <v>JPL SEDE SAN GENARO NUMA LLONA</v>
          </cell>
          <cell r="P278" t="str">
            <v>2026.05.04</v>
          </cell>
          <cell r="Q278">
            <v>31954.69</v>
          </cell>
          <cell r="R278" t="str">
            <v>PRESENTACION DE LA DEMANDA</v>
          </cell>
          <cell r="S278">
            <v>26257.95</v>
          </cell>
        </row>
        <row r="279">
          <cell r="E279" t="str">
            <v>107178101000829157</v>
          </cell>
          <cell r="F279" t="str">
            <v>MOSCOSO ALZAMORA, ANGELA</v>
          </cell>
          <cell r="G279" t="str">
            <v>003</v>
          </cell>
          <cell r="H279">
            <v>12</v>
          </cell>
          <cell r="I279" t="str">
            <v>2026.07.30</v>
          </cell>
          <cell r="J279">
            <v>700</v>
          </cell>
          <cell r="K279" t="str">
            <v>SI</v>
          </cell>
          <cell r="L279">
            <v>0</v>
          </cell>
          <cell r="M279">
            <v>25313.53</v>
          </cell>
          <cell r="N279" t="str">
            <v>00188-2026-80-3002-JP-CI-02</v>
          </cell>
          <cell r="O279" t="str">
            <v xml:space="preserve">JPL SEDE GENARO NUMA LLONA </v>
          </cell>
          <cell r="P279" t="str">
            <v>2026.04.01</v>
          </cell>
          <cell r="Q279">
            <v>24047.03</v>
          </cell>
          <cell r="R279" t="str">
            <v>PRESENTACION DE LA DEMANDA</v>
          </cell>
          <cell r="S279">
            <v>18176.55</v>
          </cell>
        </row>
        <row r="280">
          <cell r="E280" t="str">
            <v>107178101000193886</v>
          </cell>
          <cell r="F280" t="str">
            <v>OCAMPO VACALLA, RUBEN</v>
          </cell>
          <cell r="G280" t="str">
            <v xml:space="preserve">-  </v>
          </cell>
          <cell r="H280">
            <v>0</v>
          </cell>
          <cell r="I280" t="str">
            <v>-</v>
          </cell>
          <cell r="J280">
            <v>0</v>
          </cell>
          <cell r="K280" t="str">
            <v>NO</v>
          </cell>
          <cell r="L280">
            <v>0</v>
          </cell>
          <cell r="M280">
            <v>0</v>
          </cell>
          <cell r="N280" t="str">
            <v>01008-2023-24-3001-JP-CI-01</v>
          </cell>
          <cell r="O280" t="str">
            <v xml:space="preserve">JPL VILLA MARIA DEL TRIUNFO   </v>
          </cell>
          <cell r="P280" t="str">
            <v>2023.11.09</v>
          </cell>
          <cell r="Q280">
            <v>11706.88</v>
          </cell>
          <cell r="R280" t="str">
            <v>PRESENTACION DE LA DEMANDA</v>
          </cell>
          <cell r="S280">
            <v>10911.3</v>
          </cell>
        </row>
        <row r="281">
          <cell r="E281" t="str">
            <v>107178101000964799</v>
          </cell>
          <cell r="F281" t="str">
            <v>OLIVERA RAMIREZ, ILMER</v>
          </cell>
          <cell r="G281" t="str">
            <v xml:space="preserve">-  </v>
          </cell>
          <cell r="H281">
            <v>0</v>
          </cell>
          <cell r="I281" t="str">
            <v>-</v>
          </cell>
          <cell r="J281">
            <v>0</v>
          </cell>
          <cell r="K281" t="str">
            <v>NO</v>
          </cell>
          <cell r="L281">
            <v>0</v>
          </cell>
          <cell r="M281">
            <v>0</v>
          </cell>
          <cell r="N281" t="str">
            <v>12606-2025-0-1828-JR-CO-12</v>
          </cell>
          <cell r="O281" t="str">
            <v>12° JUZGADO CIVIL-COMERCIAL</v>
          </cell>
          <cell r="P281" t="str">
            <v>2025.06.06</v>
          </cell>
          <cell r="Q281">
            <v>34225.18</v>
          </cell>
          <cell r="R281" t="str">
            <v>PRESENTACION DE LA DEMANDA</v>
          </cell>
          <cell r="S281">
            <v>31224.240000000002</v>
          </cell>
        </row>
        <row r="282">
          <cell r="E282" t="str">
            <v>107178101000539169</v>
          </cell>
          <cell r="F282" t="str">
            <v>OTINIANO GONZALEZ, MAXIMINA ISABEL</v>
          </cell>
          <cell r="G282" t="str">
            <v xml:space="preserve">-  </v>
          </cell>
          <cell r="H282">
            <v>0</v>
          </cell>
          <cell r="I282" t="str">
            <v>-</v>
          </cell>
          <cell r="J282">
            <v>0</v>
          </cell>
          <cell r="K282" t="str">
            <v>NO</v>
          </cell>
          <cell r="L282">
            <v>0</v>
          </cell>
          <cell r="M282">
            <v>0</v>
          </cell>
          <cell r="N282" t="str">
            <v>00837-2023-40-3002-JR-CI-01</v>
          </cell>
          <cell r="O282" t="str">
            <v xml:space="preserve">JPL SAN JUAN DE MIRAFLORES    </v>
          </cell>
          <cell r="P282" t="str">
            <v>2023.12.14</v>
          </cell>
          <cell r="Q282">
            <v>52949.34</v>
          </cell>
          <cell r="R282" t="str">
            <v>PRESENTACION DE LA DEMANDA</v>
          </cell>
          <cell r="S282">
            <v>29507.72</v>
          </cell>
        </row>
        <row r="283">
          <cell r="E283" t="str">
            <v>107178101000780309</v>
          </cell>
          <cell r="F283" t="str">
            <v>PEDRAZA MIJAHUANCA, ALIDEZ</v>
          </cell>
          <cell r="G283" t="str">
            <v xml:space="preserve">-  </v>
          </cell>
          <cell r="H283">
            <v>0</v>
          </cell>
          <cell r="I283" t="str">
            <v>-</v>
          </cell>
          <cell r="J283">
            <v>0</v>
          </cell>
          <cell r="K283" t="str">
            <v>NO</v>
          </cell>
          <cell r="L283">
            <v>0</v>
          </cell>
          <cell r="M283">
            <v>0</v>
          </cell>
          <cell r="N283" t="str">
            <v>00841-2024-98-3002-JP-CI-02</v>
          </cell>
          <cell r="O283" t="str">
            <v xml:space="preserve">JPL SAN JUAN DE MIRAFLORES    </v>
          </cell>
          <cell r="P283" t="str">
            <v>2024.09.17</v>
          </cell>
          <cell r="Q283">
            <v>15188.96</v>
          </cell>
          <cell r="R283" t="str">
            <v>PRESENTACION DE LA DEMANDA</v>
          </cell>
          <cell r="S283">
            <v>13686.13</v>
          </cell>
        </row>
        <row r="284">
          <cell r="E284" t="str">
            <v>107178101000487688</v>
          </cell>
          <cell r="F284" t="str">
            <v>PEÑA QUISPE, EDSON ESTEFANO</v>
          </cell>
          <cell r="G284" t="str">
            <v xml:space="preserve">-  </v>
          </cell>
          <cell r="H284">
            <v>0</v>
          </cell>
          <cell r="I284" t="str">
            <v>-</v>
          </cell>
          <cell r="J284">
            <v>0</v>
          </cell>
          <cell r="K284" t="str">
            <v>NO</v>
          </cell>
          <cell r="L284">
            <v>0</v>
          </cell>
          <cell r="M284">
            <v>0</v>
          </cell>
          <cell r="N284" t="str">
            <v>00377-2023-22-3002-JP-CI-02</v>
          </cell>
          <cell r="O284" t="str">
            <v xml:space="preserve">JPL SAN JUAN DE MIRAFLORES    </v>
          </cell>
          <cell r="P284" t="str">
            <v>2023.05.04</v>
          </cell>
          <cell r="Q284">
            <v>9179.51</v>
          </cell>
          <cell r="R284" t="str">
            <v>PRESENTACION DE LA DEMANDA</v>
          </cell>
          <cell r="S284">
            <v>8387.93</v>
          </cell>
        </row>
        <row r="285">
          <cell r="E285" t="str">
            <v>107178101000634781</v>
          </cell>
          <cell r="F285" t="str">
            <v>RAMOS NINA, JAVIER JESUS</v>
          </cell>
          <cell r="G285" t="str">
            <v xml:space="preserve">-  </v>
          </cell>
          <cell r="H285">
            <v>0</v>
          </cell>
          <cell r="I285" t="str">
            <v>-</v>
          </cell>
          <cell r="J285">
            <v>0</v>
          </cell>
          <cell r="K285" t="str">
            <v>NO</v>
          </cell>
          <cell r="L285">
            <v>0</v>
          </cell>
          <cell r="M285">
            <v>0</v>
          </cell>
          <cell r="N285" t="str">
            <v>00587-2024-79-3001-JP-CI-01</v>
          </cell>
          <cell r="O285" t="str">
            <v xml:space="preserve">JPL VILLA MARIA DEL TRIUNFO   </v>
          </cell>
          <cell r="P285" t="str">
            <v>2024.06.24</v>
          </cell>
          <cell r="Q285">
            <v>10578.9</v>
          </cell>
          <cell r="R285" t="str">
            <v>PRESENTACION DE LA DEMANDA</v>
          </cell>
          <cell r="S285">
            <v>9575.18</v>
          </cell>
        </row>
        <row r="286">
          <cell r="E286" t="str">
            <v>107178101000772312</v>
          </cell>
          <cell r="F286" t="str">
            <v>RAMOS NINA, JAVIER JESUS</v>
          </cell>
          <cell r="G286" t="str">
            <v xml:space="preserve">-  </v>
          </cell>
          <cell r="H286">
            <v>0</v>
          </cell>
          <cell r="I286" t="str">
            <v>-</v>
          </cell>
          <cell r="J286">
            <v>0</v>
          </cell>
          <cell r="K286" t="str">
            <v>NO</v>
          </cell>
          <cell r="L286">
            <v>0</v>
          </cell>
          <cell r="M286">
            <v>0</v>
          </cell>
          <cell r="N286" t="str">
            <v>00587-2024-79-3001-JP-CI-01</v>
          </cell>
          <cell r="O286" t="str">
            <v xml:space="preserve">JPL VILLA MARIA DEL TRIUNFO   </v>
          </cell>
          <cell r="P286" t="str">
            <v>2024.06.24</v>
          </cell>
          <cell r="Q286">
            <v>10578.9</v>
          </cell>
          <cell r="R286" t="str">
            <v>PRESENTACION DE LA DEMANDA</v>
          </cell>
          <cell r="S286">
            <v>10063.11</v>
          </cell>
        </row>
        <row r="287">
          <cell r="E287" t="str">
            <v>107178101000305902</v>
          </cell>
          <cell r="F287" t="str">
            <v>REATEGUI SANCHEZ, JOSE LUIS</v>
          </cell>
          <cell r="G287" t="str">
            <v>005</v>
          </cell>
          <cell r="H287">
            <v>12</v>
          </cell>
          <cell r="I287" t="str">
            <v>2026.07.14</v>
          </cell>
          <cell r="J287">
            <v>1041.5</v>
          </cell>
          <cell r="K287" t="str">
            <v>SI</v>
          </cell>
          <cell r="L287">
            <v>0</v>
          </cell>
          <cell r="M287">
            <v>19531.14</v>
          </cell>
          <cell r="N287" t="str">
            <v>00490-2024-96-3002-JP-CI-02</v>
          </cell>
          <cell r="O287" t="str">
            <v xml:space="preserve">JPL SAN JUAN DE MIRAFLORES    </v>
          </cell>
          <cell r="P287" t="str">
            <v>2024.06.10</v>
          </cell>
          <cell r="Q287">
            <v>14541.73</v>
          </cell>
          <cell r="R287" t="str">
            <v>PRESENTACION DE LA DEMANDA</v>
          </cell>
          <cell r="S287">
            <v>4614.4799999999996</v>
          </cell>
        </row>
        <row r="288">
          <cell r="E288" t="str">
            <v>107178101000214747</v>
          </cell>
          <cell r="F288" t="str">
            <v>RODRIGUEZ CORDOVA, DORIS ELIZABETH</v>
          </cell>
          <cell r="G288" t="str">
            <v xml:space="preserve">-  </v>
          </cell>
          <cell r="H288">
            <v>0</v>
          </cell>
          <cell r="I288" t="str">
            <v>-</v>
          </cell>
          <cell r="J288">
            <v>0</v>
          </cell>
          <cell r="K288" t="str">
            <v>NO</v>
          </cell>
          <cell r="L288">
            <v>0</v>
          </cell>
          <cell r="M288">
            <v>0</v>
          </cell>
          <cell r="N288" t="str">
            <v>00037-2024-3-3002-JP-CI-02</v>
          </cell>
          <cell r="O288" t="str">
            <v xml:space="preserve">JPL SAN JUAN DE MIRAFLORES    </v>
          </cell>
          <cell r="P288" t="str">
            <v>2024.01.17</v>
          </cell>
          <cell r="Q288">
            <v>45819.69</v>
          </cell>
          <cell r="R288" t="str">
            <v>PRESENTACION DE LA DEMANDA</v>
          </cell>
          <cell r="S288">
            <v>42866.57</v>
          </cell>
        </row>
        <row r="289">
          <cell r="E289" t="str">
            <v>107178101000764040</v>
          </cell>
          <cell r="F289" t="str">
            <v>SAPAICO PACHECO, AUREA ROSA</v>
          </cell>
          <cell r="G289" t="str">
            <v>011</v>
          </cell>
          <cell r="H289">
            <v>12</v>
          </cell>
          <cell r="I289" t="str">
            <v>2026.07.27</v>
          </cell>
          <cell r="J289">
            <v>999.91</v>
          </cell>
          <cell r="K289" t="str">
            <v>SI</v>
          </cell>
          <cell r="L289">
            <v>0</v>
          </cell>
          <cell r="M289">
            <v>34362.410000000003</v>
          </cell>
          <cell r="N289" t="str">
            <v>00140-2025-66-3002-JP-CI-02</v>
          </cell>
          <cell r="O289" t="str">
            <v xml:space="preserve">JPL SAN JUAN DE MIRAFLORES    </v>
          </cell>
          <cell r="P289" t="str">
            <v>2025.02.28</v>
          </cell>
          <cell r="Q289">
            <v>30195.26</v>
          </cell>
          <cell r="R289" t="str">
            <v>PRESENTACION DE LA DEMANDA</v>
          </cell>
          <cell r="S289">
            <v>12642.53</v>
          </cell>
        </row>
        <row r="290">
          <cell r="E290" t="str">
            <v>107178101000375000</v>
          </cell>
          <cell r="F290" t="str">
            <v>SERRANO SANCHEZ, NELLY MERCEDES</v>
          </cell>
          <cell r="G290" t="str">
            <v xml:space="preserve">-  </v>
          </cell>
          <cell r="H290">
            <v>0</v>
          </cell>
          <cell r="I290" t="str">
            <v>-</v>
          </cell>
          <cell r="J290">
            <v>0</v>
          </cell>
          <cell r="K290" t="str">
            <v>NO</v>
          </cell>
          <cell r="L290">
            <v>0</v>
          </cell>
          <cell r="M290">
            <v>0</v>
          </cell>
          <cell r="N290" t="str">
            <v>00928-2023-98-3002-JP-CI-02</v>
          </cell>
          <cell r="O290" t="str">
            <v xml:space="preserve">JPL SAN JUAN DE MIRAFLORES    </v>
          </cell>
          <cell r="P290" t="str">
            <v>2023.10.11</v>
          </cell>
          <cell r="Q290">
            <v>18477.349999999999</v>
          </cell>
          <cell r="R290" t="str">
            <v>PRESENTACION DE LA DEMANDA</v>
          </cell>
          <cell r="S290">
            <v>16959.66</v>
          </cell>
        </row>
        <row r="291">
          <cell r="E291" t="str">
            <v>107178101001050994</v>
          </cell>
          <cell r="F291" t="str">
            <v>SOLIS SOLIS, GEMMEL ORLANDO</v>
          </cell>
          <cell r="G291" t="str">
            <v xml:space="preserve">-  </v>
          </cell>
          <cell r="H291">
            <v>0</v>
          </cell>
          <cell r="I291" t="str">
            <v>-</v>
          </cell>
          <cell r="J291">
            <v>0</v>
          </cell>
          <cell r="K291" t="str">
            <v>NO</v>
          </cell>
          <cell r="L291">
            <v>0</v>
          </cell>
          <cell r="M291">
            <v>0</v>
          </cell>
          <cell r="N291" t="str">
            <v>02605-2026-1-3203-JP-CI-02</v>
          </cell>
          <cell r="O291" t="str">
            <v>2 JUZGADO PAZ EL AGUSTINO</v>
          </cell>
          <cell r="P291" t="str">
            <v>2026.06.23</v>
          </cell>
          <cell r="Q291">
            <v>43188.59</v>
          </cell>
          <cell r="R291" t="str">
            <v>PRESENTACION DE LA DEMANDA</v>
          </cell>
          <cell r="S291">
            <v>40966.620000000003</v>
          </cell>
        </row>
        <row r="292">
          <cell r="E292" t="str">
            <v>107178101000458387</v>
          </cell>
          <cell r="F292" t="str">
            <v>SUMAQ ASOCIADOS SAC</v>
          </cell>
          <cell r="G292" t="str">
            <v xml:space="preserve">-  </v>
          </cell>
          <cell r="H292">
            <v>0</v>
          </cell>
          <cell r="I292" t="str">
            <v>-</v>
          </cell>
          <cell r="J292">
            <v>0</v>
          </cell>
          <cell r="K292" t="str">
            <v>NO</v>
          </cell>
          <cell r="L292">
            <v>0</v>
          </cell>
          <cell r="M292">
            <v>0</v>
          </cell>
          <cell r="N292" t="str">
            <v>00321-2024-1-3002-JP-CI-02</v>
          </cell>
          <cell r="O292" t="str">
            <v xml:space="preserve">JPL SAN JUAN DE MIRAFLORES    </v>
          </cell>
          <cell r="P292" t="str">
            <v>2024.04.25</v>
          </cell>
          <cell r="Q292">
            <v>18023.02</v>
          </cell>
          <cell r="R292" t="str">
            <v>PRESENTACION DE LA DEMANDA</v>
          </cell>
          <cell r="S292">
            <v>16828.48</v>
          </cell>
        </row>
        <row r="293">
          <cell r="E293" t="str">
            <v>107178101000254367</v>
          </cell>
          <cell r="F293" t="str">
            <v>TIMANA VALDERRAMA, GISELA SUSANA</v>
          </cell>
          <cell r="G293" t="str">
            <v xml:space="preserve">-  </v>
          </cell>
          <cell r="H293">
            <v>0</v>
          </cell>
          <cell r="I293" t="str">
            <v>-</v>
          </cell>
          <cell r="J293">
            <v>0</v>
          </cell>
          <cell r="K293" t="str">
            <v>NO</v>
          </cell>
          <cell r="L293">
            <v>0</v>
          </cell>
          <cell r="M293">
            <v>0</v>
          </cell>
          <cell r="N293" t="str">
            <v>00085-2024-19-3004-JP-CI-01</v>
          </cell>
          <cell r="O293" t="str">
            <v xml:space="preserve">JPL VILLA EL SALVADOR         </v>
          </cell>
          <cell r="P293" t="str">
            <v>2024.01.26</v>
          </cell>
          <cell r="Q293">
            <v>27919.24</v>
          </cell>
          <cell r="R293" t="str">
            <v>PRESENTACION DE LA DEMANDA</v>
          </cell>
          <cell r="S293">
            <v>26197.65</v>
          </cell>
        </row>
        <row r="294">
          <cell r="E294" t="str">
            <v>107178101001090998</v>
          </cell>
          <cell r="F294" t="str">
            <v>TORO CANAL, MILAGROS LUCILA</v>
          </cell>
          <cell r="G294" t="str">
            <v xml:space="preserve">-  </v>
          </cell>
          <cell r="H294">
            <v>0</v>
          </cell>
          <cell r="I294" t="str">
            <v>-</v>
          </cell>
          <cell r="J294">
            <v>0</v>
          </cell>
          <cell r="K294" t="str">
            <v>NO</v>
          </cell>
          <cell r="L294">
            <v>0</v>
          </cell>
          <cell r="M294">
            <v>0</v>
          </cell>
          <cell r="N294" t="str">
            <v>01370-2026-95-1866-JP-CI-03</v>
          </cell>
          <cell r="O294" t="str">
            <v xml:space="preserve">3°JPL - SEDE BARRANCO </v>
          </cell>
          <cell r="P294" t="str">
            <v>2026.04.15</v>
          </cell>
          <cell r="Q294">
            <v>22259.62</v>
          </cell>
          <cell r="R294" t="str">
            <v>PRESENTACION DE LA DEMANDA</v>
          </cell>
          <cell r="S294">
            <v>19502.810000000001</v>
          </cell>
        </row>
        <row r="295">
          <cell r="E295" t="str">
            <v>107178101000827125</v>
          </cell>
          <cell r="F295" t="str">
            <v>VALLES ROBALINO, JESLY</v>
          </cell>
          <cell r="G295" t="str">
            <v xml:space="preserve">-  </v>
          </cell>
          <cell r="H295">
            <v>0</v>
          </cell>
          <cell r="I295" t="str">
            <v>-</v>
          </cell>
          <cell r="J295">
            <v>0</v>
          </cell>
          <cell r="K295" t="str">
            <v>NO</v>
          </cell>
          <cell r="L295">
            <v>0</v>
          </cell>
          <cell r="M295">
            <v>0</v>
          </cell>
          <cell r="N295" t="str">
            <v>05395-2025-71-1866-JP-CI-03</v>
          </cell>
          <cell r="O295" t="str">
            <v xml:space="preserve">3°JPL - SEDE BARRANCO </v>
          </cell>
          <cell r="P295" t="str">
            <v>2025.11.12</v>
          </cell>
          <cell r="Q295">
            <v>41394.93</v>
          </cell>
          <cell r="R295" t="str">
            <v>PRESENTACION DE LA DEMANDA</v>
          </cell>
          <cell r="S295">
            <v>36687.35</v>
          </cell>
        </row>
        <row r="296">
          <cell r="E296" t="str">
            <v>107180101000069013</v>
          </cell>
          <cell r="F296" t="str">
            <v>ALCALDE HUAMAN, ALINDOR ARTURO</v>
          </cell>
          <cell r="G296" t="str">
            <v xml:space="preserve">-  </v>
          </cell>
          <cell r="H296">
            <v>0</v>
          </cell>
          <cell r="I296" t="str">
            <v>-</v>
          </cell>
          <cell r="J296">
            <v>0</v>
          </cell>
          <cell r="K296" t="str">
            <v>NO</v>
          </cell>
          <cell r="L296">
            <v>0</v>
          </cell>
          <cell r="M296">
            <v>0</v>
          </cell>
          <cell r="N296" t="str">
            <v>00229-2024-6-1820-JP-CI-03</v>
          </cell>
          <cell r="O296" t="str">
            <v>3° JPL SEDE LINCE - SAN ISIDRO</v>
          </cell>
          <cell r="P296" t="str">
            <v>2024.02.07</v>
          </cell>
          <cell r="Q296">
            <v>19897.72</v>
          </cell>
          <cell r="R296" t="str">
            <v>PRESENTACION DE LA DEMANDA</v>
          </cell>
          <cell r="S296">
            <v>17318.5</v>
          </cell>
        </row>
        <row r="297">
          <cell r="E297" t="str">
            <v>107180101000016780</v>
          </cell>
          <cell r="F297" t="str">
            <v>ALLCA BARRA, MASEDONIO</v>
          </cell>
          <cell r="G297" t="str">
            <v xml:space="preserve">-  </v>
          </cell>
          <cell r="H297">
            <v>0</v>
          </cell>
          <cell r="I297" t="str">
            <v>-</v>
          </cell>
          <cell r="J297">
            <v>0</v>
          </cell>
          <cell r="K297" t="str">
            <v>NO</v>
          </cell>
          <cell r="L297">
            <v>0</v>
          </cell>
          <cell r="M297">
            <v>0</v>
          </cell>
          <cell r="N297" t="str">
            <v>01038-2022-0-3004-JP-CI-01</v>
          </cell>
          <cell r="O297" t="str">
            <v xml:space="preserve">JPL CIVIL - VILLA EL SALVADOR </v>
          </cell>
          <cell r="P297" t="str">
            <v>2022.12.30</v>
          </cell>
          <cell r="Q297">
            <v>33563.65</v>
          </cell>
          <cell r="R297" t="str">
            <v>PRESENTACION DE LA DEMANDA</v>
          </cell>
          <cell r="S297">
            <v>13300</v>
          </cell>
        </row>
        <row r="298">
          <cell r="E298" t="str">
            <v>107180101000857428</v>
          </cell>
          <cell r="F298" t="str">
            <v>ARELLANO ALEJO, RUTH MERY</v>
          </cell>
          <cell r="G298" t="str">
            <v xml:space="preserve">-  </v>
          </cell>
          <cell r="H298">
            <v>0</v>
          </cell>
          <cell r="I298" t="str">
            <v>-</v>
          </cell>
          <cell r="J298">
            <v>0</v>
          </cell>
          <cell r="K298" t="str">
            <v>NO</v>
          </cell>
          <cell r="L298">
            <v>0</v>
          </cell>
          <cell r="M298">
            <v>0</v>
          </cell>
          <cell r="N298" t="str">
            <v>00029-2026-28-3002-JP-CI-02</v>
          </cell>
          <cell r="O298" t="str">
            <v xml:space="preserve">JUZGADO DE PAZ LETRADO CIVIL  </v>
          </cell>
          <cell r="P298" t="str">
            <v>2026.01.15</v>
          </cell>
          <cell r="Q298">
            <v>29182.81</v>
          </cell>
          <cell r="R298" t="str">
            <v>PRESENTACION DE LA DEMANDA</v>
          </cell>
          <cell r="S298">
            <v>26635.3</v>
          </cell>
        </row>
        <row r="299">
          <cell r="E299" t="str">
            <v>107180101000648141</v>
          </cell>
          <cell r="F299" t="str">
            <v>ARREDONDO BUSTILLOS, NAYELI DAYANA</v>
          </cell>
          <cell r="G299" t="str">
            <v xml:space="preserve">-  </v>
          </cell>
          <cell r="H299">
            <v>0</v>
          </cell>
          <cell r="I299" t="str">
            <v>-</v>
          </cell>
          <cell r="J299">
            <v>0</v>
          </cell>
          <cell r="K299" t="str">
            <v>NO</v>
          </cell>
          <cell r="L299">
            <v>0</v>
          </cell>
          <cell r="M299">
            <v>0</v>
          </cell>
          <cell r="N299" t="str">
            <v>01529-2025-0-1820-JP-CI-03</v>
          </cell>
          <cell r="O299" t="str">
            <v>3° JPL SEDE LINCE - SAN ISIDRO</v>
          </cell>
          <cell r="P299" t="str">
            <v>2025.09.16</v>
          </cell>
          <cell r="Q299">
            <v>24505.82</v>
          </cell>
          <cell r="R299" t="str">
            <v>PRESENTACION DE LA DEMANDA</v>
          </cell>
          <cell r="S299">
            <v>21500</v>
          </cell>
        </row>
        <row r="300">
          <cell r="E300" t="str">
            <v>107180101000523496</v>
          </cell>
          <cell r="F300" t="str">
            <v>ARROYO DURAND, RAFAEL</v>
          </cell>
          <cell r="G300" t="str">
            <v xml:space="preserve">-  </v>
          </cell>
          <cell r="H300">
            <v>0</v>
          </cell>
          <cell r="I300" t="str">
            <v>-</v>
          </cell>
          <cell r="J300">
            <v>0</v>
          </cell>
          <cell r="K300" t="str">
            <v>NO</v>
          </cell>
          <cell r="L300">
            <v>0</v>
          </cell>
          <cell r="M300">
            <v>0</v>
          </cell>
          <cell r="N300" t="str">
            <v>01532-2025-0-1820-JP-CI-02</v>
          </cell>
          <cell r="O300" t="str">
            <v xml:space="preserve">2°JPL SEDE LINCE SAN ISIDRO   </v>
          </cell>
          <cell r="P300" t="str">
            <v>2025.09.16</v>
          </cell>
          <cell r="Q300">
            <v>19870.14</v>
          </cell>
          <cell r="R300" t="str">
            <v>PRESENTACION DE LA DEMANDA</v>
          </cell>
          <cell r="S300">
            <v>16854.52</v>
          </cell>
        </row>
        <row r="301">
          <cell r="E301" t="str">
            <v>107024101005956238</v>
          </cell>
          <cell r="F301" t="str">
            <v>BOLIVAR BAUTISTA, EDGAR FLORENCIO</v>
          </cell>
          <cell r="G301" t="str">
            <v xml:space="preserve">-  </v>
          </cell>
          <cell r="H301">
            <v>0</v>
          </cell>
          <cell r="I301" t="str">
            <v>-</v>
          </cell>
          <cell r="J301">
            <v>0</v>
          </cell>
          <cell r="K301" t="str">
            <v>NO</v>
          </cell>
          <cell r="L301">
            <v>0</v>
          </cell>
          <cell r="M301">
            <v>0</v>
          </cell>
          <cell r="N301" t="str">
            <v>01527-2025-0-1820-JP-CI-04</v>
          </cell>
          <cell r="O301" t="str">
            <v>4ª JUZGADO PAZ LETRADO(LIN/SAN</v>
          </cell>
          <cell r="P301" t="str">
            <v>2025.09.16</v>
          </cell>
          <cell r="Q301">
            <v>26278.76</v>
          </cell>
          <cell r="R301" t="str">
            <v>PRESENTACION DE LA DEMANDA</v>
          </cell>
          <cell r="S301">
            <v>22000</v>
          </cell>
        </row>
        <row r="302">
          <cell r="E302" t="str">
            <v>107180101000044541</v>
          </cell>
          <cell r="F302" t="str">
            <v>CETRONICS SOLUTIONS E.I.R.L</v>
          </cell>
          <cell r="G302" t="str">
            <v>003</v>
          </cell>
          <cell r="H302">
            <v>12</v>
          </cell>
          <cell r="I302" t="str">
            <v>2026.07.17</v>
          </cell>
          <cell r="J302">
            <v>10</v>
          </cell>
          <cell r="K302" t="str">
            <v>SI</v>
          </cell>
          <cell r="L302">
            <v>0</v>
          </cell>
          <cell r="M302">
            <v>4381.38</v>
          </cell>
          <cell r="N302" t="str">
            <v>00881-2024-0-1820-JP-CI-02</v>
          </cell>
          <cell r="O302" t="str">
            <v xml:space="preserve">2°JPL SEDE LINCE SAN ISIDRO   </v>
          </cell>
          <cell r="P302" t="str">
            <v>2024.05.10</v>
          </cell>
          <cell r="Q302">
            <v>30927.08</v>
          </cell>
          <cell r="R302" t="str">
            <v>PRESENTACION DE LA DEMANDA</v>
          </cell>
          <cell r="S302">
            <v>11491</v>
          </cell>
        </row>
        <row r="303">
          <cell r="E303" t="str">
            <v>107180101000648848</v>
          </cell>
          <cell r="F303" t="str">
            <v>COBEÑAS SERNAQUE, JULIO CESAR</v>
          </cell>
          <cell r="G303" t="str">
            <v xml:space="preserve">-  </v>
          </cell>
          <cell r="H303">
            <v>0</v>
          </cell>
          <cell r="I303" t="str">
            <v>-</v>
          </cell>
          <cell r="J303">
            <v>0</v>
          </cell>
          <cell r="K303" t="str">
            <v>NO</v>
          </cell>
          <cell r="L303">
            <v>0</v>
          </cell>
          <cell r="M303">
            <v>0</v>
          </cell>
          <cell r="N303" t="str">
            <v>21363-2025-0-1828-JR-CO-11</v>
          </cell>
          <cell r="O303" t="str">
            <v xml:space="preserve">11° JUZGADO C. COMERCIAL      </v>
          </cell>
          <cell r="P303" t="str">
            <v>2025.09.17</v>
          </cell>
          <cell r="Q303">
            <v>54821.88</v>
          </cell>
          <cell r="R303" t="str">
            <v>PRESENTACION DE LA DEMANDA</v>
          </cell>
          <cell r="S303">
            <v>49500</v>
          </cell>
        </row>
        <row r="304">
          <cell r="E304" t="str">
            <v>107146101000299745</v>
          </cell>
          <cell r="F304" t="str">
            <v>CORPORACION CIARA EIRL</v>
          </cell>
          <cell r="G304" t="str">
            <v xml:space="preserve">-  </v>
          </cell>
          <cell r="H304">
            <v>0</v>
          </cell>
          <cell r="I304" t="str">
            <v>-</v>
          </cell>
          <cell r="J304">
            <v>0</v>
          </cell>
          <cell r="K304" t="str">
            <v>NO</v>
          </cell>
          <cell r="L304">
            <v>0</v>
          </cell>
          <cell r="M304">
            <v>0</v>
          </cell>
          <cell r="N304" t="str">
            <v>25110-2022-39-1817-JR-CO-03</v>
          </cell>
          <cell r="O304" t="str">
            <v xml:space="preserve">3° JUZGADO CIVIL-COMERCIAL    </v>
          </cell>
          <cell r="P304" t="str">
            <v>2022.12.15</v>
          </cell>
          <cell r="Q304">
            <v>62679.199999999997</v>
          </cell>
          <cell r="R304" t="str">
            <v>PRESENTACION DE LA DEMANDA</v>
          </cell>
          <cell r="S304">
            <v>27833.71</v>
          </cell>
        </row>
        <row r="305">
          <cell r="E305" t="str">
            <v>107180101000560845</v>
          </cell>
          <cell r="F305" t="str">
            <v>FERNANDEZ GARCIA, MARIA ESTHER</v>
          </cell>
          <cell r="G305" t="str">
            <v xml:space="preserve">-  </v>
          </cell>
          <cell r="H305">
            <v>0</v>
          </cell>
          <cell r="I305" t="str">
            <v>-</v>
          </cell>
          <cell r="J305">
            <v>0</v>
          </cell>
          <cell r="K305" t="str">
            <v>NO</v>
          </cell>
          <cell r="L305">
            <v>0</v>
          </cell>
          <cell r="M305">
            <v>0</v>
          </cell>
          <cell r="N305" t="str">
            <v>21368-2025-0-1828-JR-CO-05</v>
          </cell>
          <cell r="O305" t="str">
            <v xml:space="preserve">5ª JUZGADO CIVIL  COMERCIAL   </v>
          </cell>
          <cell r="P305" t="str">
            <v>2025.09.17</v>
          </cell>
          <cell r="Q305">
            <v>58461.09</v>
          </cell>
          <cell r="R305" t="str">
            <v>PRESENTACION DE LA DEMANDA</v>
          </cell>
          <cell r="S305">
            <v>50000</v>
          </cell>
        </row>
        <row r="306">
          <cell r="E306" t="str">
            <v>107180101000393083</v>
          </cell>
          <cell r="F306" t="str">
            <v>GALVEZ DIAZ, ISABEL CRISTINA</v>
          </cell>
          <cell r="G306" t="str">
            <v>003</v>
          </cell>
          <cell r="H306">
            <v>12</v>
          </cell>
          <cell r="I306" t="str">
            <v>2026.07.29</v>
          </cell>
          <cell r="J306">
            <v>999.97</v>
          </cell>
          <cell r="K306" t="str">
            <v>SI</v>
          </cell>
          <cell r="L306">
            <v>0</v>
          </cell>
          <cell r="M306">
            <v>50184.14</v>
          </cell>
          <cell r="N306" t="str">
            <v>03789-2025-11-1866-JP-CI-03</v>
          </cell>
          <cell r="O306" t="str">
            <v xml:space="preserve">3° JPL SEDE BARRANCO          </v>
          </cell>
          <cell r="P306" t="str">
            <v>2025.08.26</v>
          </cell>
          <cell r="Q306">
            <v>4363</v>
          </cell>
          <cell r="R306" t="str">
            <v>PRESENTACION DE LA DEMANDA</v>
          </cell>
          <cell r="S306">
            <v>34907.26</v>
          </cell>
        </row>
        <row r="307">
          <cell r="E307" t="str">
            <v>107180101000600961</v>
          </cell>
          <cell r="F307" t="str">
            <v>HUARCAYA MORALES, KATHERINE LIZBETH</v>
          </cell>
          <cell r="G307" t="str">
            <v xml:space="preserve">-  </v>
          </cell>
          <cell r="H307">
            <v>0</v>
          </cell>
          <cell r="I307" t="str">
            <v>-</v>
          </cell>
          <cell r="J307">
            <v>0</v>
          </cell>
          <cell r="K307" t="str">
            <v>NO</v>
          </cell>
          <cell r="L307">
            <v>0</v>
          </cell>
          <cell r="M307">
            <v>0</v>
          </cell>
          <cell r="N307" t="str">
            <v>01528-2025-0-1820-JP-CI-02</v>
          </cell>
          <cell r="O307" t="str">
            <v xml:space="preserve">2°JPL SEDE LINCE SAN ISIDRO   </v>
          </cell>
          <cell r="P307" t="str">
            <v>2025.09.16</v>
          </cell>
          <cell r="Q307">
            <v>23221.55</v>
          </cell>
          <cell r="R307" t="str">
            <v>PRESENTACION DE LA DEMANDA</v>
          </cell>
          <cell r="S307">
            <v>20000</v>
          </cell>
        </row>
        <row r="308">
          <cell r="E308" t="str">
            <v>107180101000770991</v>
          </cell>
          <cell r="F308" t="str">
            <v>HUIZA YUCRA, AURELIO RONALD</v>
          </cell>
          <cell r="G308" t="str">
            <v xml:space="preserve">-  </v>
          </cell>
          <cell r="H308">
            <v>0</v>
          </cell>
          <cell r="I308" t="str">
            <v>-</v>
          </cell>
          <cell r="J308">
            <v>0</v>
          </cell>
          <cell r="K308" t="str">
            <v>NO</v>
          </cell>
          <cell r="L308">
            <v>0</v>
          </cell>
          <cell r="M308">
            <v>0</v>
          </cell>
          <cell r="N308" t="str">
            <v>00028-2026-1-3002-JP-CI-02</v>
          </cell>
          <cell r="O308" t="str">
            <v xml:space="preserve">JUZGADO DE PAZ LETRADO CIVIL  </v>
          </cell>
          <cell r="P308" t="str">
            <v>2026.01.15</v>
          </cell>
          <cell r="Q308">
            <v>44242.65</v>
          </cell>
          <cell r="R308" t="str">
            <v>PRESENTACION DE LA DEMANDA</v>
          </cell>
          <cell r="S308">
            <v>40000</v>
          </cell>
        </row>
        <row r="309">
          <cell r="E309" t="str">
            <v>107180101000322405</v>
          </cell>
          <cell r="F309" t="str">
            <v>INCHAUSTEGUI NUÑEZ, JEAN FRANCOIS</v>
          </cell>
          <cell r="G309" t="str">
            <v>007</v>
          </cell>
          <cell r="H309">
            <v>12</v>
          </cell>
          <cell r="I309" t="str">
            <v>2026.07.11</v>
          </cell>
          <cell r="J309">
            <v>999.93</v>
          </cell>
          <cell r="K309" t="str">
            <v>SI</v>
          </cell>
          <cell r="L309">
            <v>0</v>
          </cell>
          <cell r="M309">
            <v>33582.480000000003</v>
          </cell>
          <cell r="N309" t="str">
            <v>05294-2024-52-1866-JP-CI-02</v>
          </cell>
          <cell r="O309" t="str">
            <v>2° JUZGADO DE PAZ LETRADO BARR</v>
          </cell>
          <cell r="P309" t="str">
            <v>2024.11.22</v>
          </cell>
          <cell r="Q309">
            <v>41589.99</v>
          </cell>
          <cell r="R309" t="str">
            <v>PRESENTACION DE LA DEMANDA</v>
          </cell>
          <cell r="S309">
            <v>15359.45</v>
          </cell>
        </row>
        <row r="310">
          <cell r="E310" t="str">
            <v>107180101000545515</v>
          </cell>
          <cell r="F310" t="str">
            <v>JALIRE MAMANI, CRISTIAN FREDDY</v>
          </cell>
          <cell r="G310" t="str">
            <v xml:space="preserve">-  </v>
          </cell>
          <cell r="H310">
            <v>0</v>
          </cell>
          <cell r="I310" t="str">
            <v>-</v>
          </cell>
          <cell r="J310">
            <v>0</v>
          </cell>
          <cell r="K310" t="str">
            <v>NO</v>
          </cell>
          <cell r="L310">
            <v>0</v>
          </cell>
          <cell r="M310">
            <v>0</v>
          </cell>
          <cell r="N310" t="str">
            <v>21364-2025-0-1828-JR-CO-17</v>
          </cell>
          <cell r="O310" t="str">
            <v xml:space="preserve">17ª JUZGADO CIVIL COMERCIAL   </v>
          </cell>
          <cell r="P310" t="str">
            <v>2025.09.17</v>
          </cell>
          <cell r="Q310">
            <v>53607.97</v>
          </cell>
          <cell r="R310" t="str">
            <v>PRESENTACION DE LA DEMANDA</v>
          </cell>
          <cell r="S310">
            <v>45000</v>
          </cell>
        </row>
        <row r="311">
          <cell r="E311" t="str">
            <v>107146101000826501</v>
          </cell>
          <cell r="F311" t="str">
            <v>LINARES CHAVEZ, LESLY YUDITH</v>
          </cell>
          <cell r="G311" t="str">
            <v xml:space="preserve">-  </v>
          </cell>
          <cell r="H311">
            <v>0</v>
          </cell>
          <cell r="I311" t="str">
            <v>-</v>
          </cell>
          <cell r="J311">
            <v>0</v>
          </cell>
          <cell r="K311" t="str">
            <v>NO</v>
          </cell>
          <cell r="L311">
            <v>0</v>
          </cell>
          <cell r="M311">
            <v>0</v>
          </cell>
          <cell r="N311" t="str">
            <v>05129-2024-78-1866-JP-CI-03</v>
          </cell>
          <cell r="O311" t="str">
            <v xml:space="preserve">3°JPL BARRANCO- MIRAFLORES    </v>
          </cell>
          <cell r="P311" t="str">
            <v>2024.11.05</v>
          </cell>
          <cell r="Q311">
            <v>23603.759999999998</v>
          </cell>
          <cell r="R311" t="str">
            <v>PRESENTACION DE LA DEMANDA</v>
          </cell>
          <cell r="S311">
            <v>18868.82</v>
          </cell>
        </row>
        <row r="312">
          <cell r="E312" t="str">
            <v>107180101000436172</v>
          </cell>
          <cell r="F312" t="str">
            <v>LINARES CHAVEZ, LUZBETH</v>
          </cell>
          <cell r="G312" t="str">
            <v xml:space="preserve">-  </v>
          </cell>
          <cell r="H312">
            <v>0</v>
          </cell>
          <cell r="I312" t="str">
            <v>-</v>
          </cell>
          <cell r="J312">
            <v>0</v>
          </cell>
          <cell r="K312" t="str">
            <v>NO</v>
          </cell>
          <cell r="L312">
            <v>0</v>
          </cell>
          <cell r="M312">
            <v>0</v>
          </cell>
          <cell r="N312" t="str">
            <v>04831-2024-85-1866-JP-CI-02</v>
          </cell>
          <cell r="O312" t="str">
            <v>2° JUZGADO DE PAZ LETRADO BARR</v>
          </cell>
          <cell r="P312" t="str">
            <v>2024.10.14</v>
          </cell>
          <cell r="Q312">
            <v>48403.81</v>
          </cell>
          <cell r="R312" t="str">
            <v>PRESENTACION DE LA DEMANDA</v>
          </cell>
          <cell r="S312">
            <v>11401.55</v>
          </cell>
        </row>
        <row r="313">
          <cell r="E313" t="str">
            <v>107180101000360203</v>
          </cell>
          <cell r="F313" t="str">
            <v>MAGUIÑA GARCIA, PERCY RICHARD</v>
          </cell>
          <cell r="G313" t="str">
            <v xml:space="preserve">-  </v>
          </cell>
          <cell r="H313">
            <v>0</v>
          </cell>
          <cell r="I313" t="str">
            <v>-</v>
          </cell>
          <cell r="J313">
            <v>0</v>
          </cell>
          <cell r="K313" t="str">
            <v>NO</v>
          </cell>
          <cell r="L313">
            <v>0</v>
          </cell>
          <cell r="M313">
            <v>0</v>
          </cell>
          <cell r="N313" t="str">
            <v>08316-2026-60-1828-JR-CO-06</v>
          </cell>
          <cell r="O313" t="str">
            <v xml:space="preserve">6° JUZGADO CIVIL - COMERCIAL  </v>
          </cell>
          <cell r="P313" t="str">
            <v>2026.03.30</v>
          </cell>
          <cell r="Q313">
            <v>67432.259999999995</v>
          </cell>
          <cell r="R313" t="str">
            <v>PRESENTACION DE LA DEMANDA</v>
          </cell>
          <cell r="S313">
            <v>60273.91</v>
          </cell>
        </row>
        <row r="314">
          <cell r="E314" t="str">
            <v>107146101000306251</v>
          </cell>
          <cell r="F314" t="str">
            <v>MENA RAMIREZ, MARCO ANTONIO</v>
          </cell>
          <cell r="G314" t="str">
            <v>001</v>
          </cell>
          <cell r="H314">
            <v>12</v>
          </cell>
          <cell r="I314" t="str">
            <v>2025.10.15</v>
          </cell>
          <cell r="J314">
            <v>1229.96</v>
          </cell>
          <cell r="K314" t="str">
            <v>NO</v>
          </cell>
          <cell r="L314">
            <v>259</v>
          </cell>
          <cell r="M314">
            <v>3355.56</v>
          </cell>
          <cell r="N314" t="str">
            <v>00753-2023-46-1814-JP-CI-04</v>
          </cell>
          <cell r="O314" t="str">
            <v>4° jpl MIXTO´-LA VICTORIA Y SA</v>
          </cell>
          <cell r="P314" t="str">
            <v>2023.05.22</v>
          </cell>
          <cell r="Q314">
            <v>41459.589999999997</v>
          </cell>
          <cell r="R314" t="str">
            <v>PRESENTACION DE LA DEMANDA</v>
          </cell>
          <cell r="S314">
            <v>0</v>
          </cell>
        </row>
        <row r="315">
          <cell r="E315" t="str">
            <v>107180101000256788</v>
          </cell>
          <cell r="F315" t="str">
            <v>MINIMARKET EL MERCADER S.A.C</v>
          </cell>
          <cell r="G315" t="str">
            <v>005</v>
          </cell>
          <cell r="H315">
            <v>12</v>
          </cell>
          <cell r="I315" t="str">
            <v>2026.07.10</v>
          </cell>
          <cell r="J315">
            <v>999.95</v>
          </cell>
          <cell r="K315" t="str">
            <v>SI</v>
          </cell>
          <cell r="L315">
            <v>0</v>
          </cell>
          <cell r="M315">
            <v>41176.300000000003</v>
          </cell>
          <cell r="N315" t="str">
            <v>05130-2024-72-1866-JP-CI-03</v>
          </cell>
          <cell r="O315" t="str">
            <v xml:space="preserve">3°JPL BARRANCO- MIRAFLORES    </v>
          </cell>
          <cell r="P315" t="str">
            <v>2024.11.05</v>
          </cell>
          <cell r="Q315">
            <v>45639</v>
          </cell>
          <cell r="R315" t="str">
            <v>PRESENTACION DE LA DEMANDA</v>
          </cell>
          <cell r="S315">
            <v>25944.11</v>
          </cell>
        </row>
        <row r="316">
          <cell r="E316" t="str">
            <v>107180101000363808</v>
          </cell>
          <cell r="F316" t="str">
            <v>MINIMARKET EL MERCADER S.A.C</v>
          </cell>
          <cell r="G316" t="str">
            <v>007</v>
          </cell>
          <cell r="H316">
            <v>12</v>
          </cell>
          <cell r="I316" t="str">
            <v>2026.07.30</v>
          </cell>
          <cell r="J316">
            <v>500</v>
          </cell>
          <cell r="K316" t="str">
            <v>SI</v>
          </cell>
          <cell r="L316">
            <v>0</v>
          </cell>
          <cell r="M316">
            <v>19611.91</v>
          </cell>
          <cell r="N316" t="str">
            <v>05130-2024-72-1866-JP-CI-03</v>
          </cell>
          <cell r="O316" t="str">
            <v xml:space="preserve">3°JPL BARRANCO- MIRAFLORES    </v>
          </cell>
          <cell r="P316" t="str">
            <v>2024.11.05</v>
          </cell>
          <cell r="Q316">
            <v>45639</v>
          </cell>
          <cell r="R316" t="str">
            <v>PRESENTACION DE LA DEMANDA</v>
          </cell>
          <cell r="S316">
            <v>8533.92</v>
          </cell>
        </row>
        <row r="317">
          <cell r="E317" t="str">
            <v>107180101000234281</v>
          </cell>
          <cell r="F317" t="str">
            <v>MORALES INOÑAN, ISABEL GUADALUPE</v>
          </cell>
          <cell r="G317" t="str">
            <v>004</v>
          </cell>
          <cell r="H317">
            <v>12</v>
          </cell>
          <cell r="I317" t="str">
            <v>2026.06.16</v>
          </cell>
          <cell r="J317">
            <v>100</v>
          </cell>
          <cell r="K317" t="str">
            <v>NO</v>
          </cell>
          <cell r="L317">
            <v>15</v>
          </cell>
          <cell r="M317">
            <v>44708.29</v>
          </cell>
          <cell r="N317" t="str">
            <v>01835-2023-20-1802-JP-CI-03</v>
          </cell>
          <cell r="O317" t="str">
            <v>3° JPL SEDE LINCE - SAN ISIDRO</v>
          </cell>
          <cell r="P317" t="str">
            <v>2023.08.23</v>
          </cell>
          <cell r="Q317">
            <v>39040.32</v>
          </cell>
          <cell r="R317" t="str">
            <v>PRESENTACION DE LA DEMANDA</v>
          </cell>
          <cell r="S317">
            <v>20193.79</v>
          </cell>
        </row>
        <row r="318">
          <cell r="E318" t="str">
            <v>107024101006185988</v>
          </cell>
          <cell r="F318" t="str">
            <v>NARVAJA AQUINO, YULY MADAI</v>
          </cell>
          <cell r="G318" t="str">
            <v xml:space="preserve">-  </v>
          </cell>
          <cell r="H318">
            <v>0</v>
          </cell>
          <cell r="I318" t="str">
            <v>-</v>
          </cell>
          <cell r="J318">
            <v>0</v>
          </cell>
          <cell r="K318" t="str">
            <v>NO</v>
          </cell>
          <cell r="L318">
            <v>0</v>
          </cell>
          <cell r="M318">
            <v>0</v>
          </cell>
          <cell r="N318" t="str">
            <v>28843-2025-0-1828-JR-CO-09</v>
          </cell>
          <cell r="O318" t="str">
            <v>9 JUZGADO CIVIL COMERCIAL</v>
          </cell>
          <cell r="P318" t="str">
            <v>2025.11.28</v>
          </cell>
          <cell r="Q318">
            <v>85215.05</v>
          </cell>
          <cell r="R318" t="str">
            <v>PRESENTACION DE LA DEMANDA</v>
          </cell>
          <cell r="S318">
            <v>24885</v>
          </cell>
        </row>
        <row r="319">
          <cell r="E319" t="str">
            <v>107180101000724194</v>
          </cell>
          <cell r="F319" t="str">
            <v>NARVAJA AQUINO, YULY MADAI</v>
          </cell>
          <cell r="G319" t="str">
            <v xml:space="preserve">-  </v>
          </cell>
          <cell r="H319">
            <v>0</v>
          </cell>
          <cell r="I319" t="str">
            <v>-</v>
          </cell>
          <cell r="J319">
            <v>0</v>
          </cell>
          <cell r="K319" t="str">
            <v>NO</v>
          </cell>
          <cell r="L319">
            <v>0</v>
          </cell>
          <cell r="M319">
            <v>0</v>
          </cell>
          <cell r="N319" t="str">
            <v>26552-2025-0-1828-JR-CO-13</v>
          </cell>
          <cell r="O319" t="str">
            <v xml:space="preserve">13° JUZGADO CIVIL COMERCIAL   </v>
          </cell>
          <cell r="P319" t="str">
            <v>2025.10.31</v>
          </cell>
          <cell r="Q319">
            <v>85215.05</v>
          </cell>
          <cell r="R319" t="str">
            <v>PRESENTACION DE LA DEMANDA</v>
          </cell>
          <cell r="S319">
            <v>52960.800000000003</v>
          </cell>
        </row>
        <row r="320">
          <cell r="E320" t="str">
            <v>107180101000325880</v>
          </cell>
          <cell r="F320" t="str">
            <v>PACHAS CUADROS, JUAN CARLOS</v>
          </cell>
          <cell r="G320" t="str">
            <v>003</v>
          </cell>
          <cell r="H320">
            <v>12</v>
          </cell>
          <cell r="I320" t="str">
            <v>2026.07.30</v>
          </cell>
          <cell r="J320">
            <v>600</v>
          </cell>
          <cell r="K320" t="str">
            <v>SI</v>
          </cell>
          <cell r="L320">
            <v>0</v>
          </cell>
          <cell r="M320">
            <v>18117.740000000002</v>
          </cell>
          <cell r="N320" t="str">
            <v>00159-2025-81-1866-JP-CI-02</v>
          </cell>
          <cell r="O320" t="str">
            <v>2° JUZGADO DE PAZ LETRADO BARR</v>
          </cell>
          <cell r="P320" t="str">
            <v>2025.01.21</v>
          </cell>
          <cell r="Q320">
            <v>18653.150000000001</v>
          </cell>
          <cell r="R320" t="str">
            <v>PRESENTACION DE LA DEMANDA</v>
          </cell>
          <cell r="S320">
            <v>8056.1</v>
          </cell>
        </row>
        <row r="321">
          <cell r="E321" t="str">
            <v>107180101000634051</v>
          </cell>
          <cell r="F321" t="str">
            <v>RIOS CARRASCO, NATALIE VALERIA</v>
          </cell>
          <cell r="G321" t="str">
            <v>007</v>
          </cell>
          <cell r="H321">
            <v>12</v>
          </cell>
          <cell r="I321" t="str">
            <v>2026.07.26</v>
          </cell>
          <cell r="J321">
            <v>999.93</v>
          </cell>
          <cell r="K321" t="str">
            <v>SI</v>
          </cell>
          <cell r="L321">
            <v>0</v>
          </cell>
          <cell r="M321">
            <v>52083.22</v>
          </cell>
          <cell r="N321" t="str">
            <v>34912-2024-77-1828-JR-CO-06</v>
          </cell>
          <cell r="O321" t="str">
            <v xml:space="preserve">6° JUZGADO CIVIL - COMERCIAL  </v>
          </cell>
          <cell r="P321" t="str">
            <v>2024.11.18</v>
          </cell>
          <cell r="Q321">
            <v>52362.38</v>
          </cell>
          <cell r="R321" t="str">
            <v>PRESENTACION DE LA DEMANDA</v>
          </cell>
          <cell r="S321">
            <v>27577.64</v>
          </cell>
        </row>
        <row r="322">
          <cell r="E322" t="str">
            <v>107024101005383939</v>
          </cell>
          <cell r="F322" t="str">
            <v>TORRES CERRON, EVA</v>
          </cell>
          <cell r="G322" t="str">
            <v>020</v>
          </cell>
          <cell r="H322">
            <v>20</v>
          </cell>
          <cell r="I322" t="str">
            <v>2026.07.06</v>
          </cell>
          <cell r="J322">
            <v>1055.23</v>
          </cell>
          <cell r="K322" t="str">
            <v>SI</v>
          </cell>
          <cell r="L322">
            <v>0</v>
          </cell>
          <cell r="M322">
            <v>23418.89</v>
          </cell>
          <cell r="N322" t="str">
            <v>01743-2024-1-1866-JP-CI-03</v>
          </cell>
          <cell r="O322" t="str">
            <v xml:space="preserve">3° JUZGADO DE PAZ LETRADO     </v>
          </cell>
          <cell r="P322" t="str">
            <v>2024.05.03</v>
          </cell>
          <cell r="Q322">
            <v>25000</v>
          </cell>
          <cell r="R322" t="str">
            <v>PRESENTACION DE LA DEMANDA</v>
          </cell>
          <cell r="S322">
            <v>0</v>
          </cell>
        </row>
        <row r="323">
          <cell r="E323" t="str">
            <v>107180101000592327</v>
          </cell>
          <cell r="F323" t="str">
            <v>VELASQUEZ CONTRERAS, ROBERT NICOLAS</v>
          </cell>
          <cell r="G323" t="str">
            <v>006</v>
          </cell>
          <cell r="H323">
            <v>12</v>
          </cell>
          <cell r="I323" t="str">
            <v>2026.07.30</v>
          </cell>
          <cell r="J323">
            <v>999.94</v>
          </cell>
          <cell r="K323" t="str">
            <v>SI</v>
          </cell>
          <cell r="L323">
            <v>0</v>
          </cell>
          <cell r="M323">
            <v>29191.43</v>
          </cell>
          <cell r="N323" t="str">
            <v>03790-2025-17-1866-JP-CI-02</v>
          </cell>
          <cell r="O323" t="str">
            <v>2° JUZGADO DE PAZ LETRADO BARR</v>
          </cell>
          <cell r="P323" t="str">
            <v>2025.08.26</v>
          </cell>
          <cell r="Q323">
            <v>26036.63</v>
          </cell>
          <cell r="R323" t="str">
            <v>PRESENTACION DE LA DEMANDA</v>
          </cell>
          <cell r="S323">
            <v>14184.82</v>
          </cell>
        </row>
        <row r="324">
          <cell r="E324" t="str">
            <v>107180101000560340</v>
          </cell>
          <cell r="F324" t="str">
            <v>VILLARREAL APAZA, FATIMA RUTH</v>
          </cell>
          <cell r="G324" t="str">
            <v>001</v>
          </cell>
          <cell r="H324">
            <v>12</v>
          </cell>
          <cell r="I324" t="str">
            <v>2026.03.27</v>
          </cell>
          <cell r="J324">
            <v>919.99</v>
          </cell>
          <cell r="K324" t="str">
            <v>NO</v>
          </cell>
          <cell r="L324">
            <v>96</v>
          </cell>
          <cell r="M324">
            <v>2829.13</v>
          </cell>
          <cell r="N324" t="str">
            <v>04328-2025-45-1866-JP-CI-03</v>
          </cell>
          <cell r="O324" t="str">
            <v xml:space="preserve">3° JPL SEDE BARRANCO          </v>
          </cell>
          <cell r="P324" t="str">
            <v>2025.09.16</v>
          </cell>
          <cell r="Q324">
            <v>35449.769999999997</v>
          </cell>
          <cell r="R324" t="str">
            <v>PRESENTACION DE LA DEMANDA</v>
          </cell>
          <cell r="S324">
            <v>24333.200000000001</v>
          </cell>
        </row>
        <row r="325">
          <cell r="E325" t="str">
            <v>107146101000765519</v>
          </cell>
          <cell r="F325" t="str">
            <v>ALLCCACO UCHARIMA, DIONISIO</v>
          </cell>
          <cell r="G325" t="str">
            <v xml:space="preserve">-  </v>
          </cell>
          <cell r="H325">
            <v>0</v>
          </cell>
          <cell r="I325" t="str">
            <v>-</v>
          </cell>
          <cell r="J325">
            <v>0</v>
          </cell>
          <cell r="K325" t="str">
            <v>NO</v>
          </cell>
          <cell r="L325">
            <v>0</v>
          </cell>
          <cell r="M325">
            <v>0</v>
          </cell>
          <cell r="N325" t="str">
            <v>03796-2025-74-1866-JP-CI-02</v>
          </cell>
          <cell r="O325" t="str">
            <v>2° J.P.L. BARRANCO-MIRAFLORES</v>
          </cell>
          <cell r="P325" t="str">
            <v>2025.08.26</v>
          </cell>
          <cell r="Q325">
            <v>49747.82</v>
          </cell>
          <cell r="R325" t="str">
            <v>PRESENTACION DE LA DEMANDA</v>
          </cell>
          <cell r="S325">
            <v>46326.98</v>
          </cell>
        </row>
        <row r="326">
          <cell r="E326" t="str">
            <v>107205101000205158</v>
          </cell>
          <cell r="F326" t="str">
            <v>CALDERON MOLINA, RAUL ANTHONY</v>
          </cell>
          <cell r="G326" t="str">
            <v xml:space="preserve">-  </v>
          </cell>
          <cell r="H326">
            <v>0</v>
          </cell>
          <cell r="I326" t="str">
            <v>-</v>
          </cell>
          <cell r="J326">
            <v>0</v>
          </cell>
          <cell r="K326" t="str">
            <v>NO</v>
          </cell>
          <cell r="L326">
            <v>0</v>
          </cell>
          <cell r="M326">
            <v>0</v>
          </cell>
          <cell r="N326" t="str">
            <v>03309-2025-17-1866-JP-CI-03</v>
          </cell>
          <cell r="O326" t="str">
            <v>3 J BARRANCO MIRAFLORES</v>
          </cell>
          <cell r="P326" t="str">
            <v>2025.08.07</v>
          </cell>
          <cell r="Q326">
            <v>29038.97</v>
          </cell>
          <cell r="R326" t="str">
            <v>PRESENTACION DE LA DEMANDA</v>
          </cell>
          <cell r="S326">
            <v>25963.88</v>
          </cell>
        </row>
        <row r="327">
          <cell r="E327" t="str">
            <v>107205101000218592</v>
          </cell>
          <cell r="F327" t="str">
            <v>GANOZA LAZARTE, VICTOR PAUL</v>
          </cell>
          <cell r="G327" t="str">
            <v xml:space="preserve">-  </v>
          </cell>
          <cell r="H327">
            <v>0</v>
          </cell>
          <cell r="I327" t="str">
            <v>-</v>
          </cell>
          <cell r="J327">
            <v>0</v>
          </cell>
          <cell r="K327" t="str">
            <v>NO</v>
          </cell>
          <cell r="L327">
            <v>0</v>
          </cell>
          <cell r="M327">
            <v>0</v>
          </cell>
          <cell r="N327" t="str">
            <v>15089-2025-92-1828-JR-CO-16</v>
          </cell>
          <cell r="O327" t="str">
            <v>16 J COMERCIAL LIMA</v>
          </cell>
          <cell r="P327" t="str">
            <v>2025.07.14</v>
          </cell>
          <cell r="Q327">
            <v>67782.78</v>
          </cell>
          <cell r="R327" t="str">
            <v>PRESENTACION DE LA DEMANDA</v>
          </cell>
          <cell r="S327">
            <v>49868.44</v>
          </cell>
        </row>
        <row r="328">
          <cell r="E328" t="str">
            <v>107146101000787888</v>
          </cell>
          <cell r="F328" t="str">
            <v>HUAROTO LOZANO, BERNABE ISMAEL</v>
          </cell>
          <cell r="G328" t="str">
            <v xml:space="preserve">-  </v>
          </cell>
          <cell r="H328">
            <v>0</v>
          </cell>
          <cell r="I328" t="str">
            <v>-</v>
          </cell>
          <cell r="J328">
            <v>0</v>
          </cell>
          <cell r="K328" t="str">
            <v>NO</v>
          </cell>
          <cell r="L328">
            <v>0</v>
          </cell>
          <cell r="M328">
            <v>0</v>
          </cell>
          <cell r="N328" t="str">
            <v>00521-2024-93-1820-JP-CI-03</v>
          </cell>
          <cell r="O328" t="str">
            <v xml:space="preserve">3° JPL SAN ISIDRO             </v>
          </cell>
          <cell r="P328" t="str">
            <v>2024.03.20</v>
          </cell>
          <cell r="Q328">
            <v>9921.59</v>
          </cell>
          <cell r="R328" t="str">
            <v>PRESENTACION DE LA DEMANDA</v>
          </cell>
          <cell r="S328">
            <v>8938.6</v>
          </cell>
        </row>
        <row r="329">
          <cell r="E329" t="str">
            <v>107146101000894346</v>
          </cell>
          <cell r="F329" t="str">
            <v>HUAROTO LOZANO, BERNABE ISMAEL</v>
          </cell>
          <cell r="G329" t="str">
            <v xml:space="preserve">-  </v>
          </cell>
          <cell r="H329">
            <v>0</v>
          </cell>
          <cell r="I329" t="str">
            <v>-</v>
          </cell>
          <cell r="J329">
            <v>0</v>
          </cell>
          <cell r="K329" t="str">
            <v>NO</v>
          </cell>
          <cell r="L329">
            <v>0</v>
          </cell>
          <cell r="M329">
            <v>0</v>
          </cell>
          <cell r="N329" t="str">
            <v>00521-2024-93-1820-JP-CI-03</v>
          </cell>
          <cell r="O329" t="str">
            <v xml:space="preserve">3° JPL SAN ISIDRO             </v>
          </cell>
          <cell r="P329" t="str">
            <v>2024.03.20</v>
          </cell>
          <cell r="Q329">
            <v>9921.59</v>
          </cell>
          <cell r="R329" t="str">
            <v>PRESENTACION DE LA DEMANDA</v>
          </cell>
          <cell r="S329">
            <v>16066.27</v>
          </cell>
        </row>
        <row r="330">
          <cell r="E330" t="str">
            <v>107205101000217345</v>
          </cell>
          <cell r="F330" t="str">
            <v>LOPEZ CHINCHAY, SANTOS RENATO</v>
          </cell>
          <cell r="G330" t="str">
            <v xml:space="preserve">-  </v>
          </cell>
          <cell r="H330">
            <v>0</v>
          </cell>
          <cell r="I330" t="str">
            <v>-</v>
          </cell>
          <cell r="J330">
            <v>0</v>
          </cell>
          <cell r="K330" t="str">
            <v>NO</v>
          </cell>
          <cell r="L330">
            <v>0</v>
          </cell>
          <cell r="M330">
            <v>0</v>
          </cell>
          <cell r="N330" t="str">
            <v>00986-2025-46-3002-JP-CI-02</v>
          </cell>
          <cell r="O330" t="str">
            <v xml:space="preserve">JPL CIVIL SJM                 </v>
          </cell>
          <cell r="P330" t="str">
            <v>2025.12.22</v>
          </cell>
          <cell r="Q330">
            <v>40291.53</v>
          </cell>
          <cell r="R330" t="str">
            <v>PRESENTACION DE LA DEMANDA</v>
          </cell>
          <cell r="S330">
            <v>36233.89</v>
          </cell>
        </row>
        <row r="331">
          <cell r="E331" t="str">
            <v>107205101000112943</v>
          </cell>
          <cell r="F331" t="str">
            <v>MARCA SALGADO, ARTURO REYNALDO</v>
          </cell>
          <cell r="G331" t="str">
            <v xml:space="preserve">-  </v>
          </cell>
          <cell r="H331">
            <v>0</v>
          </cell>
          <cell r="I331" t="str">
            <v>-</v>
          </cell>
          <cell r="J331">
            <v>0</v>
          </cell>
          <cell r="K331" t="str">
            <v>NO</v>
          </cell>
          <cell r="L331">
            <v>0</v>
          </cell>
          <cell r="M331">
            <v>0</v>
          </cell>
          <cell r="N331" t="str">
            <v xml:space="preserve">          </v>
          </cell>
          <cell r="O331" t="str">
            <v/>
          </cell>
          <cell r="P331" t="str">
            <v/>
          </cell>
          <cell r="Q331">
            <v>0</v>
          </cell>
          <cell r="R331" t="str">
            <v/>
          </cell>
          <cell r="S331">
            <v>53126.09</v>
          </cell>
        </row>
        <row r="332">
          <cell r="E332" t="str">
            <v>107205101000165050</v>
          </cell>
          <cell r="F332" t="str">
            <v>TAQUIRE RODRIGUEZ, ROSA MAXIMINA ESPERANZA</v>
          </cell>
          <cell r="G332" t="str">
            <v xml:space="preserve">-  </v>
          </cell>
          <cell r="H332">
            <v>0</v>
          </cell>
          <cell r="I332" t="str">
            <v>-</v>
          </cell>
          <cell r="J332">
            <v>0</v>
          </cell>
          <cell r="K332" t="str">
            <v>NO</v>
          </cell>
          <cell r="L332">
            <v>0</v>
          </cell>
          <cell r="M332">
            <v>0</v>
          </cell>
          <cell r="N332" t="str">
            <v>23317-2025-0-1828-JR-CO-16</v>
          </cell>
          <cell r="O332" t="str">
            <v>16 J COMERCIAL LIMA</v>
          </cell>
          <cell r="P332" t="str">
            <v>2025.09.30</v>
          </cell>
          <cell r="Q332">
            <v>87061.61</v>
          </cell>
          <cell r="R332" t="str">
            <v>PRESENTACION DE LA DEMANDA</v>
          </cell>
          <cell r="S332">
            <v>75500</v>
          </cell>
        </row>
        <row r="333">
          <cell r="E333" t="str">
            <v>107205101000230691</v>
          </cell>
          <cell r="F333" t="str">
            <v>VANI. ODIOSAS S.A.C.</v>
          </cell>
          <cell r="G333" t="str">
            <v xml:space="preserve">-  </v>
          </cell>
          <cell r="H333">
            <v>0</v>
          </cell>
          <cell r="I333" t="str">
            <v>-</v>
          </cell>
          <cell r="J333">
            <v>0</v>
          </cell>
          <cell r="K333" t="str">
            <v>NO</v>
          </cell>
          <cell r="L333">
            <v>0</v>
          </cell>
          <cell r="M333">
            <v>0</v>
          </cell>
          <cell r="N333" t="str">
            <v>01593-2026-55-1866-JP-CI-03</v>
          </cell>
          <cell r="O333" t="str">
            <v>3 J BARRANCO MIRAFLORES</v>
          </cell>
          <cell r="P333" t="str">
            <v>2026.05.06</v>
          </cell>
          <cell r="Q333">
            <v>38642.5</v>
          </cell>
          <cell r="R333" t="str">
            <v>PRESENTACION M. C.</v>
          </cell>
          <cell r="S333">
            <v>33875.61</v>
          </cell>
        </row>
        <row r="334">
          <cell r="E334" t="str">
            <v>107038101002453222</v>
          </cell>
          <cell r="F334" t="str">
            <v>ARBAÑIL CORTEZ, MARIELA LUPE</v>
          </cell>
          <cell r="G334" t="str">
            <v xml:space="preserve">-  </v>
          </cell>
          <cell r="H334">
            <v>0</v>
          </cell>
          <cell r="I334" t="str">
            <v>-</v>
          </cell>
          <cell r="J334">
            <v>0</v>
          </cell>
          <cell r="K334" t="str">
            <v>NO</v>
          </cell>
          <cell r="L334">
            <v>0</v>
          </cell>
          <cell r="M334">
            <v>0</v>
          </cell>
          <cell r="N334" t="str">
            <v>00907-2023-55-1809-JP-CI-04</v>
          </cell>
          <cell r="O334" t="str">
            <v>4° JUZ PAZ LETRADO DE BARRANCO</v>
          </cell>
          <cell r="P334" t="str">
            <v>2023.02.24</v>
          </cell>
          <cell r="Q334">
            <v>14854.84</v>
          </cell>
          <cell r="R334" t="str">
            <v>PRESENTACION DE LA DEMANDA</v>
          </cell>
          <cell r="S334">
            <v>2622.75</v>
          </cell>
        </row>
        <row r="335">
          <cell r="E335" t="str">
            <v>107038101003090777</v>
          </cell>
          <cell r="F335" t="str">
            <v>CAHUI COILA, MAXIMO</v>
          </cell>
          <cell r="G335" t="str">
            <v xml:space="preserve">-  </v>
          </cell>
          <cell r="H335">
            <v>0</v>
          </cell>
          <cell r="I335" t="str">
            <v>-</v>
          </cell>
          <cell r="J335">
            <v>0</v>
          </cell>
          <cell r="K335" t="str">
            <v>NO</v>
          </cell>
          <cell r="L335">
            <v>0</v>
          </cell>
          <cell r="M335">
            <v>0</v>
          </cell>
          <cell r="N335" t="str">
            <v>05129-2025-77-1866-JP-CI-03</v>
          </cell>
          <cell r="O335" t="str">
            <v xml:space="preserve">3° JPL BARRANCO-MIRAFLORES,   </v>
          </cell>
          <cell r="P335" t="str">
            <v>2025.10.27</v>
          </cell>
          <cell r="Q335">
            <v>1</v>
          </cell>
          <cell r="R335" t="str">
            <v>PRESENTACION DE LA DEMANDA</v>
          </cell>
          <cell r="S335">
            <v>35460.949999999997</v>
          </cell>
        </row>
        <row r="336">
          <cell r="E336" t="str">
            <v>107038101002635377</v>
          </cell>
          <cell r="F336" t="str">
            <v>CONTROL REMOTO CENTAURO S.A.C.</v>
          </cell>
          <cell r="G336" t="str">
            <v>007</v>
          </cell>
          <cell r="H336">
            <v>11</v>
          </cell>
          <cell r="I336" t="str">
            <v>2026.06.11</v>
          </cell>
          <cell r="J336">
            <v>500</v>
          </cell>
          <cell r="K336" t="str">
            <v>NO</v>
          </cell>
          <cell r="L336">
            <v>20</v>
          </cell>
          <cell r="M336">
            <v>28539.89</v>
          </cell>
          <cell r="N336" t="str">
            <v>02932-2025-0-1866-JP-CI-03</v>
          </cell>
          <cell r="O336" t="str">
            <v xml:space="preserve">3° JUZGADO PAZ LETRADO        </v>
          </cell>
          <cell r="P336" t="str">
            <v>2025.07.15</v>
          </cell>
          <cell r="Q336">
            <v>26308.06</v>
          </cell>
          <cell r="R336" t="str">
            <v>PRESENTACION DE LA DEMANDA</v>
          </cell>
          <cell r="S336">
            <v>15356.83</v>
          </cell>
        </row>
        <row r="337">
          <cell r="E337" t="str">
            <v>107038101002882581</v>
          </cell>
          <cell r="F337" t="str">
            <v>FUENTES ESTRADA, JAIDI</v>
          </cell>
          <cell r="G337" t="str">
            <v xml:space="preserve">-  </v>
          </cell>
          <cell r="H337">
            <v>0</v>
          </cell>
          <cell r="I337" t="str">
            <v>-</v>
          </cell>
          <cell r="J337">
            <v>0</v>
          </cell>
          <cell r="K337" t="str">
            <v>NO</v>
          </cell>
          <cell r="L337">
            <v>0</v>
          </cell>
          <cell r="M337">
            <v>0</v>
          </cell>
          <cell r="N337" t="str">
            <v>03201-2025-70-1866-JP-CI-02</v>
          </cell>
          <cell r="O337" t="str">
            <v xml:space="preserve">2° JUZGADO DE PAZ LETRADO     </v>
          </cell>
          <cell r="P337" t="str">
            <v>2025.07.31</v>
          </cell>
          <cell r="Q337">
            <v>28244.33</v>
          </cell>
          <cell r="R337" t="str">
            <v>PRESENTACION DE LA DEMANDA</v>
          </cell>
          <cell r="S337">
            <v>26336.49</v>
          </cell>
        </row>
        <row r="338">
          <cell r="E338" t="str">
            <v>107038101003053611</v>
          </cell>
          <cell r="F338" t="str">
            <v>FUENTES ESTRADA, JAIDI</v>
          </cell>
          <cell r="G338" t="str">
            <v xml:space="preserve">-  </v>
          </cell>
          <cell r="H338">
            <v>0</v>
          </cell>
          <cell r="I338" t="str">
            <v>-</v>
          </cell>
          <cell r="J338">
            <v>0</v>
          </cell>
          <cell r="K338" t="str">
            <v>NO</v>
          </cell>
          <cell r="L338">
            <v>0</v>
          </cell>
          <cell r="M338">
            <v>0</v>
          </cell>
          <cell r="N338" t="str">
            <v>04981-2025-39-1866-JP-CI-03</v>
          </cell>
          <cell r="O338" t="str">
            <v xml:space="preserve">3° JPL BARRANCO-MIRAFLORES,   </v>
          </cell>
          <cell r="P338" t="str">
            <v>2025.10.20</v>
          </cell>
          <cell r="Q338">
            <v>30114.68</v>
          </cell>
          <cell r="R338" t="str">
            <v>PRESENTACION DE LA DEMANDA</v>
          </cell>
          <cell r="S338">
            <v>27886.7</v>
          </cell>
        </row>
        <row r="339">
          <cell r="E339" t="str">
            <v>107214101000231187</v>
          </cell>
          <cell r="F339" t="str">
            <v>GARCIA ALCANTARA, ROBER</v>
          </cell>
          <cell r="G339" t="str">
            <v xml:space="preserve">-  </v>
          </cell>
          <cell r="H339">
            <v>0</v>
          </cell>
          <cell r="I339" t="str">
            <v>-</v>
          </cell>
          <cell r="J339">
            <v>0</v>
          </cell>
          <cell r="K339" t="str">
            <v>NO</v>
          </cell>
          <cell r="L339">
            <v>0</v>
          </cell>
          <cell r="M339">
            <v>0</v>
          </cell>
          <cell r="N339" t="str">
            <v>01515-2025-92-1866-JP-CI-03</v>
          </cell>
          <cell r="O339" t="str">
            <v xml:space="preserve">3° JUZGADO PAZ LETRADO        </v>
          </cell>
          <cell r="P339" t="str">
            <v>2025.04.25</v>
          </cell>
          <cell r="Q339">
            <v>31419.24</v>
          </cell>
          <cell r="R339" t="str">
            <v>PRESENTACION DE LA DEMANDA</v>
          </cell>
          <cell r="S339">
            <v>29770.44</v>
          </cell>
        </row>
        <row r="340">
          <cell r="E340" t="str">
            <v>107214101000113908</v>
          </cell>
          <cell r="F340" t="str">
            <v>GUEVARA VILLALOBOS, JHON LENNIN</v>
          </cell>
          <cell r="G340" t="str">
            <v xml:space="preserve">-  </v>
          </cell>
          <cell r="H340">
            <v>0</v>
          </cell>
          <cell r="I340" t="str">
            <v>-</v>
          </cell>
          <cell r="J340">
            <v>0</v>
          </cell>
          <cell r="K340" t="str">
            <v>NO</v>
          </cell>
          <cell r="L340">
            <v>0</v>
          </cell>
          <cell r="M340">
            <v>0</v>
          </cell>
          <cell r="N340" t="str">
            <v>01596-2025-0-1820-JP-CI-03</v>
          </cell>
          <cell r="O340" t="str">
            <v xml:space="preserve">3° JUZGADO PAZ LETRADO        </v>
          </cell>
          <cell r="P340" t="str">
            <v>2025.09.26</v>
          </cell>
          <cell r="Q340">
            <v>28457.25</v>
          </cell>
          <cell r="R340" t="str">
            <v>PRESENTACION DE LA DEMANDA</v>
          </cell>
          <cell r="S340">
            <v>24244.55</v>
          </cell>
        </row>
        <row r="341">
          <cell r="E341" t="str">
            <v>107038101002664745</v>
          </cell>
          <cell r="F341" t="str">
            <v>INCA ZAMORA, GLADYS GABRIELA</v>
          </cell>
          <cell r="G341" t="str">
            <v>009</v>
          </cell>
          <cell r="H341">
            <v>12</v>
          </cell>
          <cell r="I341" t="str">
            <v>2026.07.24</v>
          </cell>
          <cell r="J341">
            <v>700</v>
          </cell>
          <cell r="K341" t="str">
            <v>SI</v>
          </cell>
          <cell r="L341">
            <v>0</v>
          </cell>
          <cell r="M341">
            <v>28326.81</v>
          </cell>
          <cell r="N341" t="str">
            <v>03025-2025-78-1866-JP-CI-03</v>
          </cell>
          <cell r="O341" t="str">
            <v xml:space="preserve">3° JUZGADO PAZ LETRADO        </v>
          </cell>
          <cell r="P341" t="str">
            <v>2025.07.22</v>
          </cell>
          <cell r="Q341">
            <v>26464.99</v>
          </cell>
          <cell r="R341" t="str">
            <v>PRESENTACION DE LA DEMANDA</v>
          </cell>
          <cell r="S341">
            <v>15225.07</v>
          </cell>
        </row>
        <row r="342">
          <cell r="E342" t="str">
            <v>107146101000045093</v>
          </cell>
          <cell r="F342" t="str">
            <v>INGA PEREZ, UBERTA TEOFILA</v>
          </cell>
          <cell r="G342" t="str">
            <v>012</v>
          </cell>
          <cell r="H342">
            <v>12</v>
          </cell>
          <cell r="I342" t="str">
            <v>2025.12.30</v>
          </cell>
          <cell r="J342">
            <v>144717.42000000001</v>
          </cell>
          <cell r="K342" t="str">
            <v>NO</v>
          </cell>
          <cell r="L342">
            <v>183</v>
          </cell>
          <cell r="M342">
            <v>174331.06</v>
          </cell>
          <cell r="N342" t="str">
            <v>09064-2023-0-1817-JR-CO-03</v>
          </cell>
          <cell r="O342" t="str">
            <v xml:space="preserve">3° JUZGADO CIVIL COMERCIAL    </v>
          </cell>
          <cell r="P342" t="str">
            <v>2023.05.05</v>
          </cell>
          <cell r="Q342">
            <v>201030.05</v>
          </cell>
          <cell r="R342" t="str">
            <v>PRESENTACION DE LA DEMANDA</v>
          </cell>
          <cell r="S342">
            <v>129304.48</v>
          </cell>
        </row>
        <row r="343">
          <cell r="E343" t="str">
            <v>107038101002140116</v>
          </cell>
          <cell r="F343" t="str">
            <v>OSCCO OSCCO, GISELA SUSANA</v>
          </cell>
          <cell r="G343" t="str">
            <v xml:space="preserve">-  </v>
          </cell>
          <cell r="H343">
            <v>0</v>
          </cell>
          <cell r="I343" t="str">
            <v>-</v>
          </cell>
          <cell r="J343">
            <v>0</v>
          </cell>
          <cell r="K343" t="str">
            <v>NO</v>
          </cell>
          <cell r="L343">
            <v>0</v>
          </cell>
          <cell r="M343">
            <v>0</v>
          </cell>
          <cell r="N343" t="str">
            <v>00910-2024-0-3002-JP-CI-02</v>
          </cell>
          <cell r="O343" t="str">
            <v xml:space="preserve">JPL SAN JUAN DE MIRAFLORES    </v>
          </cell>
          <cell r="P343" t="str">
            <v>2024.10.04</v>
          </cell>
          <cell r="Q343">
            <v>11500</v>
          </cell>
          <cell r="R343" t="str">
            <v>PRESENTACION DE LA DEMANDA</v>
          </cell>
          <cell r="S343">
            <v>8744.39</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HON" refreshedDate="46213.485729513886" createdVersion="7" refreshedVersion="7" minRefreshableVersion="3" recordCount="335" xr:uid="{F3789793-9A1C-4FCF-B126-32DEAEF07098}">
  <cacheSource type="worksheet">
    <worksheetSource ref="A3:AF338" sheet="Hoja1"/>
  </cacheSource>
  <cacheFields count="32">
    <cacheField name="AG. CHORRILLOS" numFmtId="0">
      <sharedItems count="11">
        <s v="AG. CHORRILLOS"/>
        <s v="AG. LINCE"/>
        <s v="AG. MIRAFLORES"/>
        <s v="AG. SAN BORJA"/>
        <s v="AG. SAN GABRIEL"/>
        <s v="AG. SAN JUAN DE MIRAFLORES II"/>
        <s v="AG. SURQUILLO"/>
        <s v="AG. VILLA EL SALVADOR"/>
        <s v="AG. MAGDALENA DEL MAR"/>
        <s v="AG. JESÚS MARÍA"/>
        <s v="AG. SAN ISIDRO"/>
      </sharedItems>
    </cacheField>
    <cacheField name="NIÑO DE GUZMAN/HUAMANI,ALEXANDER" numFmtId="0">
      <sharedItems/>
    </cacheField>
    <cacheField name="HINOSTROZA/ILDEFONSO, DIEGO ANDREE" numFmtId="0">
      <sharedItems/>
    </cacheField>
    <cacheField name="LORENA PRADA GONZALES" numFmtId="0">
      <sharedItems/>
    </cacheField>
    <cacheField name="CASTAÑEDA CAMONES, HEBERT RONY" numFmtId="0">
      <sharedItems/>
    </cacheField>
    <cacheField name="107099101002017780" numFmtId="0">
      <sharedItems/>
    </cacheField>
    <cacheField name="27198.64" numFmtId="0">
      <sharedItems containsSemiMixedTypes="0" containsString="0" containsNumber="1" minValue="0" maxValue="309260.58"/>
    </cacheField>
    <cacheField name="SOLES" numFmtId="0">
      <sharedItems/>
    </cacheField>
    <cacheField name="4/06/2025" numFmtId="14">
      <sharedItems containsSemiMixedTypes="0" containsNonDate="0" containsDate="1" containsString="0" minDate="2019-10-01T00:00:00" maxDate="2026-06-27T00:00:00"/>
    </cacheField>
    <cacheField name="99000018896" numFmtId="0">
      <sharedItems containsMixedTypes="1" containsNumber="1" containsInteger="1" minValue="38000019497" maxValue="99000019780"/>
    </cacheField>
    <cacheField name="RECUPERABLE" numFmtId="0">
      <sharedItems/>
    </cacheField>
    <cacheField name="29,805.07" numFmtId="0">
      <sharedItems containsMixedTypes="1" containsNumber="1" minValue="20942.98" maxValue="89154.1"/>
    </cacheField>
    <cacheField name="LIMA" numFmtId="0">
      <sharedItems/>
    </cacheField>
    <cacheField name="2 JUZGADO DE PAZ LETRADO BARRANCO - MIRAFLORES" numFmtId="0">
      <sharedItems/>
    </cacheField>
    <cacheField name="EMBARGO EN FORMA DE INSCRIPCION" numFmtId="0">
      <sharedItems count="3">
        <s v="EMBARGO EN FORMA DE INSCRIPCION"/>
        <s v="NINGUNO"/>
        <s v="EMBARGO EN FORMA DE RETENCION"/>
      </sharedItems>
    </cacheField>
    <cacheField name="27/05/2025" numFmtId="0">
      <sharedItems containsNonDate="0" containsDate="1" containsString="0" containsBlank="1" minDate="2020-10-23T00:00:00" maxDate="2026-06-27T00:00:00"/>
    </cacheField>
    <cacheField name="01980-2025-3-1866-JP-CI-02" numFmtId="0">
      <sharedItems containsBlank="1"/>
    </cacheField>
    <cacheField name="675755" numFmtId="0">
      <sharedItems containsBlank="1" containsMixedTypes="1" containsNumber="1" containsInteger="1" minValue="2144" maxValue="994003"/>
    </cacheField>
    <cacheField name="ADMISION E INCRIPCION EN LA SUNARP" numFmtId="0">
      <sharedItems containsBlank="1" count="5">
        <s v="PRESENTADA"/>
        <s v="ADMISION E INCRIPCION EN LA SUNARP"/>
        <m/>
        <s v="EJECUTADA"/>
        <s v="PRESENTADA "/>
      </sharedItems>
    </cacheField>
    <cacheField name="Obligación de dar suma de dinero" numFmtId="0">
      <sharedItems containsBlank="1"/>
    </cacheField>
    <cacheField name="12/06/2025" numFmtId="0">
      <sharedItems containsDate="1" containsBlank="1" containsMixedTypes="1" minDate="2019-09-20T00:00:00" maxDate="2026-07-04T00:00:00"/>
    </cacheField>
    <cacheField name="01980-2025-0-1809-JP-CI-02" numFmtId="0">
      <sharedItems containsBlank="1"/>
    </cacheField>
    <cacheField name="SENTENCIA O AUTO FINAL" numFmtId="0">
      <sharedItems containsBlank="1"/>
    </cacheField>
    <cacheField name="TOTALIDAD DEL INMUEBLE QUE LE CORRESPONDE AL TITULAR CASTAÑEDA CAMONES HEBERT RONY INMUEBLE UBICADO EN UNIDAD INMOBILIARIA D PRIMER PISO LOTE 23 DE LA MANZANA B URB. LOS CEDROS DE VILLA 3RA ETAPA 5TO SECTOR CHORRILLOS" numFmtId="0">
      <sharedItems containsBlank="1" longText="1"/>
    </cacheField>
    <cacheField name="02/06/2026 ESCRITO; SOLICITO PERITOS" numFmtId="0">
      <sharedItems containsBlank="1"/>
    </cacheField>
    <cacheField name="TOTALIDAD DEL INMUEBLE" numFmtId="0">
      <sharedItems containsBlank="1"/>
    </cacheField>
    <cacheField name="26/6/2026" numFmtId="0">
      <sharedItems containsSemiMixedTypes="0" containsNonDate="0" containsDate="1" containsString="0" minDate="2026-06-12T00:00:00" maxDate="2026-07-01T00:00:00"/>
    </cacheField>
    <cacheField name="SI" numFmtId="0">
      <sharedItems/>
    </cacheField>
    <cacheField name="SE NOTIFICA A CLIENTE EN SU VIVIENDA CASA 3 PISOS COLOR AZUL" numFmtId="0">
      <sharedItems/>
    </cacheField>
    <cacheField name="ALTO" numFmtId="0">
      <sharedItems/>
    </cacheField>
    <cacheField name="SINVOLUNTAD DE PAGO/ SIN CAPACIDAD DE PAGO" numFmtId="0">
      <sharedItems/>
    </cacheField>
    <cacheField name="SIN NEGOCIACIÓ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x v="0"/>
    <s v="NIÑO DE GUZMAN/HUAMANI,ALEXANDER"/>
    <s v="HINOSTROZA/ILDEFONSO, DIEGO ANDREE"/>
    <s v="LORENA PRADA GONZALES"/>
    <s v="CRUZ JIMENEZ, LUIS SEGUNDO"/>
    <s v="107099101001710173"/>
    <n v="77311.179999999993"/>
    <s v="SOLES"/>
    <d v="2025-08-02T00:00:00"/>
    <n v="99000016055"/>
    <s v="RECUPERABLE"/>
    <s v="82,841.83"/>
    <s v="LIMA"/>
    <s v="9° JUZGADO CIVIL COMERCIAL LIMA"/>
    <x v="0"/>
    <d v="2025-07-31T00:00:00"/>
    <s v="16946-2025-24-1828-JR-CO-09"/>
    <n v="315047"/>
    <x v="0"/>
    <m/>
    <m/>
    <m/>
    <m/>
    <s v="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
    <m/>
    <s v="TOTALIDAD DEL INMUEBLE"/>
    <d v="2026-06-26T00:00:00"/>
    <s v="SI"/>
    <s v="SE ENTREGA REQUERIMIENTO EN DOMICILIO"/>
    <s v="MEDIO"/>
    <s v="SINVOLUNTAD DE PAGO/ SIN CAPACIDAD DE PAGO"/>
    <s v="SIN NEGOCIACIÓN"/>
  </r>
  <r>
    <x v="0"/>
    <s v="NIÑO DE GUZMAN/HUAMANI,ALEXANDER"/>
    <s v="HINOSTROZA/ILDEFONSO, DIEGO ANDREE"/>
    <s v="LORENA PRADA GONZALES"/>
    <s v="ERAZO BENAVIDES, DIANA ELIZABETH"/>
    <s v="107099101000880265"/>
    <n v="29000"/>
    <s v="SOLES"/>
    <d v="2023-05-22T00:00:00"/>
    <n v="99000008276"/>
    <s v="IRRECUPERABLE"/>
    <s v="34,997.33"/>
    <s v="LIMA SUR"/>
    <s v="JUZGADO DE PAZ LETRADO DE VILLA EL SALVADOR"/>
    <x v="0"/>
    <d v="2023-05-11T00:00:00"/>
    <s v="00366-2023-81-3004-JP-CI-01"/>
    <m/>
    <x v="1"/>
    <s v="Obligación de dar suma de dinero"/>
    <d v="2023-10-23T00:00:00"/>
    <s v="00366-2023-0-3004-JP-CI-01"/>
    <s v="SENTENCIA O AUTO FINAL"/>
    <s v="33% DE ACCIONES Y DERECHOS DEL INMUEBLE INSCRITO EN LA PRESENTE PARTIDA REGISTRAL CÓD DE PREDIO NRO. P03309811, ASENTAMIENTO HUMANO TUPAC AMARU DE VILLA MZ. E6 LOTE 20, UNIDAD INMOBILIARIA N° 2, DISTR. CHORRILLOS, QUE LE CORRESPONDE A LA DEMANDADA DIANA ELIZABETH ERAZO BENAVIDES."/>
    <s v="27/01/2025RES 06: CONSENTIMIENTO Y REQUERIMIENTO"/>
    <s v="ACCIONES Y DERECHOS"/>
    <d v="2026-06-26T00:00:00"/>
    <s v="SI"/>
    <s v="SE NOTIFICA A CLIENTE EN SU VIVIENDA CASA 2 PISOS COLOR BLANCO"/>
    <s v="BAJO"/>
    <s v="SINVOLUNTAD DE PAGO/ SIN CAPACIDAD DE PAGO"/>
    <s v="SIN NEGOCIACIÓN"/>
  </r>
  <r>
    <x v="0"/>
    <s v="NIÑO DE GUZMAN/HUAMANI,ALEXANDER"/>
    <s v="HINOSTROZA/ILDEFONSO, DIEGO ANDREE"/>
    <s v="LORENA PRADA GONZALES"/>
    <s v="ESTACIO GIRON, ROSA MARIBEL"/>
    <s v="107099101001921420"/>
    <n v="8376.56"/>
    <s v="SOLES"/>
    <d v="2024-10-18T00:00:00"/>
    <n v="99000018039"/>
    <s v="RECUPERABLE"/>
    <s v="17,321,53"/>
    <s v="LIMA"/>
    <s v="2 JUZGADO DE PAZ LETRADO BARRANCO - MIRAFLORES"/>
    <x v="0"/>
    <d v="2024-10-10T00:00:00"/>
    <s v="04794-2024-28-1866-JP-CI-02"/>
    <n v="948166"/>
    <x v="1"/>
    <s v="Obligación de dar suma de dinero"/>
    <d v="2025-02-07T00:00:00"/>
    <s v="04794-2024-0-1809-JP-CI-02"/>
    <s v="SENTENCIA O AUTO FINAL"/>
    <s v="LAS ACCIONES Y DERECHOS DEL FIADOR ESTACIO SANCHEZ LUIS RENEE UBICADO EN AA.HH MUNICIPAL SAN GENARO MZ I1 LT 10 CHORRILLOS, CHORRILLOS, LIMA, LIMA, P: P03087301"/>
    <s v="15/06/2026 RES 5 AUTO FINAL"/>
    <s v="ACCIONES Y DERECHOS"/>
    <d v="2026-06-26T00:00:00"/>
    <s v="SI"/>
    <s v="SE NOTIFICA A CLIENTE EL RECORDATORIO DE SU PAGO PUNTUAL DE SU CONVENIO."/>
    <s v="BAJO"/>
    <s v="CON VOLUNTAD DE PAGO/ CON CAPACIDAD"/>
    <s v="SIN NEGOCIACIÓN"/>
  </r>
  <r>
    <x v="0"/>
    <s v="NIÑO DE GUZMAN/HUAMANI,ALEXANDER"/>
    <s v="HINOSTROZA/ILDEFONSO, DIEGO ANDREE"/>
    <s v="LORENA PRADA GONZALES"/>
    <s v="FLORES MARTINEZ, LUIS ALBERTO"/>
    <s v="107099101001915847"/>
    <n v="15339.55"/>
    <s v="SOLES"/>
    <d v="2025-03-19T00:00:00"/>
    <n v="99000017988"/>
    <s v="RECUPERABLE"/>
    <s v="27,410,73"/>
    <s v="LIMA"/>
    <s v="4º JUZGADO DE PAZ LETRADO LINCE- SAN ISIDRO"/>
    <x v="1"/>
    <m/>
    <m/>
    <m/>
    <x v="2"/>
    <s v="Obligación de dar suma de dinero"/>
    <d v="2025-03-18T00:00:00"/>
    <s v="00447-2025-0-1820-JP-CI-04"/>
    <s v="SENTENCIA O AUTO FINAL"/>
    <s v="NINGUNO"/>
    <s v="12/06/2025RES 02: AUTO FINAL"/>
    <s v="NINGUNO"/>
    <d v="2026-06-26T00:00:00"/>
    <s v="SI"/>
    <s v="SE NOTIFICA A CLIENTE EL RECORDATORIO DE SU PAGO PUNTUAL DE SU CONVENIO."/>
    <s v="BAJO"/>
    <s v="CON VOLUNTAD DE PAGO/ CON CAPACIDAD"/>
    <s v="CON NEGOCIACIÓN"/>
  </r>
  <r>
    <x v="0"/>
    <s v="NIÑO DE GUZMAN/HUAMANI,ALEXANDER"/>
    <s v="HINOSTROZA/ILDEFONSO, DIEGO ANDREE"/>
    <s v="LORENA PRADA GONZALES"/>
    <s v="HUAMAN QUISPE, MOISES"/>
    <s v="107099101000734231"/>
    <n v="27120.44"/>
    <s v="SOLES"/>
    <d v="2021-10-26T00:00:00"/>
    <n v="99000006955"/>
    <s v="RECUPERABLE"/>
    <s v="73,033.31"/>
    <s v="LIMA SUR"/>
    <s v="JUZ CIVIL CHORRILLOS"/>
    <x v="1"/>
    <m/>
    <m/>
    <m/>
    <x v="2"/>
    <s v="Obligación de dar suma de dinero"/>
    <d v="2021-10-25T00:00:00"/>
    <s v="00561-2021-0-3002-JR-CI-01"/>
    <s v="SENTENCIA O AUTO FINAL"/>
    <s v="NINGUNO"/>
    <s v="30/03/2022RESOLUCION N° 03 DECLARA CONSENTIDA AUTO FINAL"/>
    <s v="NINGUNO"/>
    <d v="2026-06-26T00:00:00"/>
    <s v="SI"/>
    <s v="SE NOTIFICA A CLIENTE EL RECORDATORIO DE SU PAGO PUNTUAL DE SU CONVENIO."/>
    <s v="MEDIO"/>
    <s v="CON VOLUNTAD DE PAGO/ CON CAPACIDAD"/>
    <s v="CON NEGOCIACIÓN"/>
  </r>
  <r>
    <x v="0"/>
    <s v="NIÑO DE GUZMAN/HUAMANI,ALEXANDER"/>
    <s v="HINOSTROZA/ILDEFONSO, DIEGO ANDREE"/>
    <s v="LORENA PRADA GONZALES"/>
    <s v="K &amp; P MAQUINARIAS S.A.C"/>
    <s v="107099101001382366"/>
    <n v="25124.560000000001"/>
    <s v="SOLES"/>
    <d v="2025-06-16T00:00:00"/>
    <n v="99000012982"/>
    <s v="RECUPERABLE"/>
    <s v="64,500.33"/>
    <s v="LIMA"/>
    <s v="JUZGADO ESPECIALIZADO CIVIL DE SAN JUAN DE MIRAFLORES"/>
    <x v="0"/>
    <d v="2023-07-31T00:00:00"/>
    <s v="00498-2023-49-3002-JR-CI-01"/>
    <n v="724829"/>
    <x v="1"/>
    <s v="Obligación de dar suma de dinero"/>
    <d v="2023-10-27T00:00:00"/>
    <s v="00498-2023-0-3002-JR-CI-01"/>
    <s v="SENTENCIA O AUTO FINAL"/>
    <s v="TOTALIDAD DEL BIEN DE PROPIEDAD DE LOS AVALES SILVA DAVILA CELINDA Y VASQUEZ CUBAS ENRIQUE UBICADO EN PLAN INTEGRAL PAMPAS DE SAN JUAN MZ B2 LOTE 10 PUEBLO JOVEN BUENOS AIRES DISTRITO DE SAN JUAN DE MIRAFLORES INSCRITO EN LA P.E. P03129378 ASIENTO 2023-03028411"/>
    <s v="13/10/2025RES 04: APERSONADOS Y REQUIERASE PAGO"/>
    <s v="TOTALIDAD DEL INMUEBLE"/>
    <d v="2026-06-26T00:00:00"/>
    <s v="SI"/>
    <s v="SE NOTIFICA A CLIENTE EN SU VIVIENDA"/>
    <s v="ALTO"/>
    <s v="CON VOLUNTAD DE PAGO/ CON CAPACIDAD"/>
    <s v="CON NEGOCIACIÓN"/>
  </r>
  <r>
    <x v="0"/>
    <s v="NIÑO DE GUZMAN/HUAMANI,ALEXANDER"/>
    <s v="HINOSTROZA/ILDEFONSO, DIEGO ANDREE"/>
    <s v="LORENA PRADA GONZALES"/>
    <s v="LOPEZ MEZA, JUAN CARLOS"/>
    <s v="107099101002048607"/>
    <n v="13100.15"/>
    <s v="SOLES"/>
    <d v="2025-04-15T00:00:00"/>
    <n v="99000019175"/>
    <s v="IRRECUPERABLE"/>
    <s v="19,936.63"/>
    <s v="LIMA"/>
    <s v="3° JUZGADO DE PAZ LETRADO BARRANCO Y MIRAFLORES"/>
    <x v="0"/>
    <d v="2025-04-14T00:00:00"/>
    <s v="01338-2025-62-1866-JP-CI-03"/>
    <n v="994003"/>
    <x v="1"/>
    <s v="Obligación de dar suma de dinero"/>
    <d v="2025-10-29T00:00:00"/>
    <s v="01338-2025-0-1809-JP-CI-03"/>
    <s v="SENTENCIA O AUTO FINAL"/>
    <s v="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
    <s v="15/04/2026 RES 2 AUTO FINAL"/>
    <s v="TOTALIDAD DEL MUEBLE"/>
    <d v="2026-06-26T00:00:00"/>
    <s v="SI"/>
    <s v="SE NOTIFICA A CLIENTE EN SU VIVIENDA CASA 2 PISOS COLOR BLANCO"/>
    <s v="MEDIO"/>
    <s v="SINVOLUNTAD DE PAGO/ SIN CAPACIDAD DE PAGO"/>
    <s v="CON NEGOCIACIÓN"/>
  </r>
  <r>
    <x v="0"/>
    <s v="NIÑO DE GUZMAN/HUAMANI,ALEXANDER"/>
    <s v="HINOSTROZA/ILDEFONSO, DIEGO ANDREE"/>
    <s v="LORENA PRADA GONZALES"/>
    <s v="NOLASCO ESTELA, LUZBET"/>
    <s v="107099101002118170"/>
    <n v="54115.74"/>
    <s v="SOLES"/>
    <d v="2025-08-18T00:00:00"/>
    <n v="99000019780"/>
    <s v="RECUPERABLE"/>
    <s v="72,499.63"/>
    <s v="LIMA"/>
    <s v="4°JUZGADO CIVIL-COMERCIAL DE LIMA"/>
    <x v="0"/>
    <d v="2025-08-15T00:00:00"/>
    <s v="17822-2025-92-1828-JR-CO-04"/>
    <n v="349900"/>
    <x v="1"/>
    <s v="Obligación de dar suma de dinero"/>
    <d v="2025-12-16T00:00:00"/>
    <s v="17822-2025-0-1817-JR-CO-04"/>
    <s v="SENTENCIA O AUTO FINAL"/>
    <s v="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
    <s v="22/06/2026 RES 05: CONSENTIDO EL AUTO FINAL"/>
    <s v="TOTALIDAD DEL INMUEBLE"/>
    <d v="2026-06-26T00:00:00"/>
    <s v="SI"/>
    <s v="SE ENTREGA REQUERIMIENTO EN DOMICILIO"/>
    <s v="MEDIO"/>
    <s v="SINVOLUNTAD DE PAGO/ SIN CAPACIDAD DE PAGO"/>
    <s v="CON NEGOCIACIÓN"/>
  </r>
  <r>
    <x v="0"/>
    <s v="NIÑO DE GUZMAN/HUAMANI,ALEXANDER"/>
    <s v="HINOSTROZA/ILDEFONSO, DIEGO ANDREE"/>
    <s v="LORENA PRADA GONZALES"/>
    <s v="ORE RIOS DE MONTALVO, BENEDICTA"/>
    <s v="107099101002089739"/>
    <n v="16152.41"/>
    <s v="SOLES"/>
    <d v="2025-09-02T00:00:00"/>
    <n v="99000019538"/>
    <s v="RECUPERABLE"/>
    <s v="17,126.36"/>
    <s v="LIMA"/>
    <s v="2 JUZGADO DE PAZ LETRADO BARRANCO - MIRAFLORES"/>
    <x v="0"/>
    <d v="2025-09-01T00:00:00"/>
    <s v="03906-2025-0-1809-JP-CI-02"/>
    <n v="808335"/>
    <x v="1"/>
    <s v="Obligación de dar suma de dinero"/>
    <d v="2026-03-13T00:00:00"/>
    <s v="03906-2025-0-1809-JP-CI-02"/>
    <s v="ADMISION"/>
    <s v="RETENCION DE CUENTAS"/>
    <s v="01/06/2026 RES 1: ADMITIDA FORMALIZACION"/>
    <s v="CUENTA DE AHORRO"/>
    <d v="2026-06-26T00:00:00"/>
    <s v="SI"/>
    <s v="SE ENTREGA REQUERIMIENTO EN DOMICILIO"/>
    <s v="MEDIO"/>
    <s v="SINVOLUNTAD DE PAGO/ SIN CAPACIDAD DE PAGO"/>
    <s v="SIN NEGOCIACIÓN"/>
  </r>
  <r>
    <x v="0"/>
    <s v="NIÑO DE GUZMAN/HUAMANI,ALEXANDER"/>
    <s v="HINOSTROZA/ILDEFONSO, DIEGO ANDREE"/>
    <s v="LORENA PRADA GONZALES"/>
    <s v="PURIZACA FARFAN, JOSE FERNANDO"/>
    <s v="107099101001476900"/>
    <n v="6897.68"/>
    <s v="SOLES"/>
    <d v="2024-05-24T00:00:00"/>
    <n v="99000013872"/>
    <s v="RECUPERABLE"/>
    <s v="11,289,98"/>
    <s v="LIMA SUR"/>
    <s v="JUZGADO DE PAZ LETRADO CIVL DE SAN JUAN DE MIRAFLORES"/>
    <x v="0"/>
    <d v="2024-05-23T00:00:00"/>
    <s v="00419-2024-74-3002-JP-CI-02"/>
    <n v="111297"/>
    <x v="1"/>
    <s v="Obligación de dar suma de dinero"/>
    <d v="2024-09-02T00:00:00"/>
    <s v="00419-2024-0-3002-JP-CI-02"/>
    <s v="SENTENCIA O AUTO FINAL"/>
    <s v="LA TOTALIDAD DEL INMUEBLE (1 RANGO) QUE LE CORRESPONDEN A LOS FIADORES FARFAN CABRERA SANTOS Y PURIZACA VELASQUEZ ELMER, P: P03199965, UBICADO EN PUEBLO JOVEN DE VILLA PUETA JOSE GALVEZ - PARCELA B MZ 5A LT. 15 PARCELA VILLA POETA II, VILLA MARIA DEL TRIUNFO, LIMA"/>
    <s v="10/06/2026 RES 05: LOS PERITOS ACEPTAN EL CARGO"/>
    <s v="TOTALIDAD DEL INMUEBLE"/>
    <d v="2026-06-26T00:00:00"/>
    <s v="SI"/>
    <s v="SE NOTIFICA A CLIENTE EL RECORDATORIO DE SU PAGO PUNTUAL DE SU CONVENIO."/>
    <s v="MEDIO"/>
    <s v="CON VOLUNTAD DE PAGO/ CON CAPACIDAD"/>
    <s v="SIN NEGOCIACIÓN"/>
  </r>
  <r>
    <x v="0"/>
    <s v="NIÑO DE GUZMAN/HUAMANI,ALEXANDER"/>
    <s v="HINOSTROZA/ILDEFONSO, DIEGO ANDREE"/>
    <s v="LORENA PRADA GONZALES"/>
    <s v="QUISPE APAZA, JUSTINA OLGA"/>
    <s v="107099101001977978"/>
    <n v="14333.17"/>
    <s v="SOLES"/>
    <d v="2024-11-19T00:00:00"/>
    <n v="99000018541"/>
    <s v="RECUPERABLE"/>
    <s v="26,506,37"/>
    <s v="LIMA"/>
    <s v="3° JUZGADO DE PAZ LETRADO BARRANCO Y MIRAFLORES"/>
    <x v="0"/>
    <d v="2024-11-18T00:00:00"/>
    <s v="05217-2024-54-1866-JP-CI-03"/>
    <n v="131552"/>
    <x v="1"/>
    <s v="Obligación de dar suma de dinero"/>
    <d v="2025-03-19T00:00:00"/>
    <s v="05217-2024-0-1809-JP-CI-03"/>
    <s v="SENTENCIA O AUTO FINAL"/>
    <s v="ACCIONES Y DERECHOS QUE LE CORRESPONDE A QUISPE APAZA JUSTINA OLGA, P: P03180728 / AA.HH LOS JARDINES DE SAN JUAN MZ F LT 6, SAN JUAN DE MIRAFLORES, LIMA"/>
    <s v="08/09/2025RES. 04 IMPROCEDENTE LA SUSPENCION DE L PROCESO"/>
    <s v="ACCIONES Y DERECHOS"/>
    <d v="2026-06-26T00:00:00"/>
    <s v="SI"/>
    <s v="SE NOTIFICA A CLIENTE EL RECORDATORIO DE SU PAGO PUNTUAL DE SU CONVENIO."/>
    <s v="MEDIO"/>
    <s v="CON VOLUNTAD DE PAGO/ CON CAPACIDAD"/>
    <s v="CON NEGOCIACIÓN"/>
  </r>
  <r>
    <x v="0"/>
    <s v="NIÑO DE GUZMAN/HUAMANI,ALEXANDER"/>
    <s v="HINOSTROZA/ILDEFONSO, DIEGO ANDREE"/>
    <s v="LORENA PRADA GONZALES"/>
    <s v="QUISPE CUSI, ELENA CHARO"/>
    <s v="107099101001631507"/>
    <n v="26199.49"/>
    <s v="SOLES"/>
    <d v="2024-01-04T00:00:00"/>
    <n v="99000015316"/>
    <s v="RECUPERABLE"/>
    <s v="29,085.41"/>
    <s v="LIMA SUR"/>
    <s v="JUZGADO DE PAZ LETRADO CHORRILLOS"/>
    <x v="0"/>
    <d v="2023-12-22T00:00:00"/>
    <s v="01019-2023-49-3005-JP-CI-01"/>
    <n v="266819"/>
    <x v="1"/>
    <s v="Obligación de dar suma de dinero"/>
    <d v="2024-07-24T00:00:00"/>
    <s v="01019-2023-0-3005-JP-CI-01"/>
    <s v="SENTENCIA O AUTO FINAL"/>
    <s v="TOTALIDAD DEL INMUEBLE (1 RANGO) DE PROPIEDAD DE LA SOCIEDAD CONYUGAL UBICADO EN AAHH BUENOS AIRES DE VILLA MZ 30A LOTE 1 SECTOR BUENOS AIRES DE VILLA SECTOR A, DISTRITO DE SURCO PE P03148751"/>
    <s v="18/06/2026 ESCRITO: INICIO DE EJECUCION FORZADA"/>
    <s v="TOTALIDAD DEL INMUEBLE"/>
    <d v="2026-06-26T00:00:00"/>
    <s v="SI"/>
    <s v="SE NOTIFICA A CLIENTE EN SU VIVIENDA CASA 3 PISOS COLOR CEMENTO SIN PINTAR"/>
    <s v="MEDIO"/>
    <s v="SINVOLUNTAD DE PAGO/ SIN CAPACIDAD DE PAGO"/>
    <s v="SIN NEGOCIACIÓN"/>
  </r>
  <r>
    <x v="0"/>
    <s v="NIÑO DE GUZMAN/HUAMANI,ALEXANDER"/>
    <s v="HINOSTROZA/ILDEFONSO, DIEGO ANDREE"/>
    <s v="LORENA PRADA GONZALES"/>
    <s v="SANCHEZ CHUQUIMANGO, LIZ EUMELIA"/>
    <s v="107099101001174672"/>
    <n v="22838.33"/>
    <s v="SOLES"/>
    <d v="2023-12-02T00:00:00"/>
    <n v="99000011035"/>
    <s v="RECUPERABLE"/>
    <s v="38,391.76"/>
    <s v="LIMA SUR"/>
    <s v="JUZGADO DE PAZ LETRADO CHORRILLOS"/>
    <x v="0"/>
    <d v="2023-11-20T00:00:00"/>
    <s v="00034-2023-66-3005-JP-CO-01"/>
    <n v="674893"/>
    <x v="1"/>
    <s v="Obligación de dar suma de dinero"/>
    <d v="2024-02-09T00:00:00"/>
    <s v="00034-2023-0-3005-JP-CO-01"/>
    <s v="SENTENCIA O AUTO FINAL"/>
    <s v="TOTALIDAD DEL INMUEBLE (1 RANGO) DE PROPIEDAD DE LA TITULAR UBICADO EN UNIDAD INMOBILIARIA F, AZOTEA INMUEBLE CONSTITUIDO SOBRE EL LOTE N°27 DE LAMANZANA E-12, CON FRENTE A LA CALLE 32 URB. LOS CEDROS DE VILLA TERCERA ETAPA DISTRITO DE CHORRILLOS PE 13176636"/>
    <s v="16/04/2025RES 06: SUSPENCION POR ACUERDO DE PAGO"/>
    <s v="TOTALIDAD DEL INMUEBLE"/>
    <d v="2026-06-26T00:00:00"/>
    <s v="SI"/>
    <s v="SE NOTIFICA A CLIENTE EL RECORDATORIO DE SU PAGO PUNTUAL DE SU CONVENIO."/>
    <s v="MEDIO"/>
    <s v="CON VOLUNTAD DE PAGO/ CON CAPACIDAD"/>
    <s v="CON NEGOCIACIÓN"/>
  </r>
  <r>
    <x v="0"/>
    <s v="NIÑO DE GUZMAN/HUAMANI,ALEXANDER"/>
    <s v="HINOSTROZA/ILDEFONSO, DIEGO ANDREE"/>
    <s v="LORENA PRADA GONZALES"/>
    <s v="SANCHO GONZALES, JOSE ANTONIO"/>
    <s v="107099101001545470"/>
    <n v="976.67"/>
    <s v="SOLES"/>
    <d v="2024-08-31T00:00:00"/>
    <n v="99000017438"/>
    <s v="RECUPERABLE"/>
    <s v="16,469,96"/>
    <s v="LIMA SUR"/>
    <s v="JUZGADO DE PAZ LETRADO CIVL DE SAN JUAN DE MIRAFLORES"/>
    <x v="1"/>
    <m/>
    <m/>
    <m/>
    <x v="2"/>
    <s v="Obligación de dar suma de dinero"/>
    <d v="2024-08-22T00:00:00"/>
    <s v="00753-2024-0-3002-JP-CI-02"/>
    <s v="SENTENCIA O AUTO FINAL"/>
    <s v="NINGUNO"/>
    <s v="02/06/2026 ESCRITO: CONSENTIMIENTO Y REQUERIMIENTO"/>
    <s v="NINGUNO"/>
    <d v="2026-06-26T00:00:00"/>
    <s v="SI"/>
    <s v="SE NOTIFICA A CLIENTE EL RECORDATORIO DE SU PAGO PUNTUAL DE SU CONVENIO."/>
    <s v="BAJO"/>
    <s v="CON VOLUNTAD DE PAGO/ CON CAPACIDAD"/>
    <s v="CON NEGOCIACIÓN"/>
  </r>
  <r>
    <x v="0"/>
    <s v="NIÑO DE GUZMAN/HUAMANI,ALEXANDER"/>
    <s v="HINOSTROZA/ILDEFONSO, DIEGO ANDREE"/>
    <s v="LORENA PRADA GONZALES"/>
    <s v="SOCUALAYA VICENTE, DENIS MARLON"/>
    <s v="107099101001567860"/>
    <n v="5080.3599999999997"/>
    <s v="SOLES"/>
    <d v="2023-11-25T00:00:00"/>
    <n v="99000014724"/>
    <s v="RECUPERABLE"/>
    <s v="23,349.85"/>
    <s v="LIMA SUR"/>
    <s v="JUZGADO DE PAZ LETRADO CHORRILLOS"/>
    <x v="0"/>
    <d v="2023-11-20T00:00:00"/>
    <s v="00035-2023-93-3005-JP-CO-01"/>
    <n v="247437"/>
    <x v="1"/>
    <s v="Obligación de dar suma de dinero"/>
    <d v="2024-02-12T00:00:00"/>
    <s v="00035-2023-0-3005-JP-CO-01"/>
    <s v="SENTENCIA O AUTO FINAL"/>
    <s v="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
    <s v="19/06/2026 REA 05: CONSENTIDO EL AUTO FINAL"/>
    <s v="ACCIONES Y DERECHOS"/>
    <d v="2026-06-26T00:00:00"/>
    <s v="SI"/>
    <s v="SE NOTIFICA A CLIENTE EL RECORDATORIO DE SU PAGO PUNTUAL DE SU CONVENIO."/>
    <s v="MEDIO"/>
    <s v="CON VOLUNTAD DE PAGO/ CON CAPACIDAD"/>
    <s v="CON NEGOCIACIÓN"/>
  </r>
  <r>
    <x v="0"/>
    <s v="NIÑO DE GUZMAN/HUAMANI,ALEXANDER"/>
    <s v="HINOSTROZA/ILDEFONSO, DIEGO ANDREE"/>
    <s v="LORENA PRADA GONZALES"/>
    <s v="SOLIER GUTIERREZ, ADIMER"/>
    <s v="107099101001186714"/>
    <n v="6359.2"/>
    <s v="SOLES"/>
    <d v="2023-07-03T00:00:00"/>
    <n v="99000011150"/>
    <s v="RECUPERABLE"/>
    <s v="15,198.45"/>
    <s v="LIMA SUR"/>
    <s v="JUZGADO DE PAZ LETRADO CHORRILLOS"/>
    <x v="0"/>
    <d v="2023-06-26T00:00:00"/>
    <s v="00485-2023-12-3005-JP-CI-01"/>
    <m/>
    <x v="1"/>
    <s v="Obligación de dar suma de dinero"/>
    <d v="2023-11-09T00:00:00"/>
    <s v="00485-2023-0-3005-JP-CI-01"/>
    <s v="SENTENCIA O AUTO FINAL"/>
    <s v="TOTALIDAD DEL INMUEBLE (1 RANGO) DE PROPIEDAD DEL FUTURO EJECUTADO ADIMER SOLIER GUTIERREZ INSCRITO EN LA PRESENTE PARTIDA CÓD DE PREDIO NRO. P03156989, ASENTAMIENTO HUMANO SAN GENARO II MZ. 2 LOTE 9, DISTR. CHORRILLOS"/>
    <s v="28/03/2025RES 06: SUSPENCION POR ACUERDO DE PAGO"/>
    <s v="TOTALIDAD DEL INMUEBLE"/>
    <d v="2026-06-26T00:00:00"/>
    <s v="SI"/>
    <s v="SE NOTIFICA A CLIENTE EL RECORDATORIO DE SU PAGO PUNTUAL DE SU CONVENIO."/>
    <s v="MEDIO"/>
    <s v="CON VOLUNTAD DE PAGO/ CON CAPACIDAD"/>
    <s v="CON NEGOCIACIÓN"/>
  </r>
  <r>
    <x v="0"/>
    <s v="NIÑO DE GUZMAN/HUAMANI,ALEXANDER"/>
    <s v="HINOSTROZA/ILDEFONSO, DIEGO ANDREE"/>
    <s v="LORENA PRADA GONZALES"/>
    <s v="YANCCE CARHUAPOMA, MONICA SOFIA"/>
    <s v="107099101001990072"/>
    <n v="29455.279999999999"/>
    <s v="SOLES"/>
    <d v="2025-07-03T00:00:00"/>
    <n v="99000018651"/>
    <s v="RECUPERABLE"/>
    <s v="55,056.88"/>
    <s v="LIMA"/>
    <s v="5° JUZGADO CIVIL-COMERCIAL DE LIMA"/>
    <x v="0"/>
    <d v="2025-06-27T00:00:00"/>
    <s v="14174-2025-95-1828-JR-CO-05"/>
    <n v="514381"/>
    <x v="1"/>
    <s v="Obligación de dar suma de dinero"/>
    <d v="2025-09-10T00:00:00"/>
    <s v="14174-2025-0-1817-JR-CO-05"/>
    <s v="ADMISION"/>
    <s v="TOTALIDAD QUE LE CORRESPONDEN A LA SOCIEDAD CONYUGAL DE LOS TITULARES YANCCE CARHUAPOMA MONICA SOFIA Y HUAMANI CURITUMAY VICTOR ULPIANO, DEL BIEN INMUEBLE UBICADO EN PUEBLO JOVEN 1RO DE MAYO MZ H LOTE 9, CHORRILLOS, LIMA, LIMA / PARTIDA ELECTRÓNICA N°P03093345"/>
    <s v="27/05/2026 ESCRITO: ADJUNTO ARANCEL"/>
    <s v="TOTALIDAD DEL INMUEBLE"/>
    <d v="2026-06-26T00:00:00"/>
    <s v="SI"/>
    <s v="SE ENTREGA REQUERIMIENTO EN DOMICILIO"/>
    <s v="MEDIO"/>
    <s v="SINVOLUNTAD DE PAGO/ SIN CAPACIDAD DE PAGO"/>
    <s v="CON NEGOCIACIÓN"/>
  </r>
  <r>
    <x v="1"/>
    <s v="NIÑO DE GUZMAN/HUAMANI,ALEXANDER"/>
    <s v="MOROTE/CONDORPUSA,MISHELL"/>
    <s v="LORENA PRADA GONZALES"/>
    <s v="ALCALDE HUAMAN, ALINDOR ARTURO"/>
    <s v="107180101000069013"/>
    <n v="17318.5"/>
    <s v="SOLES"/>
    <d v="2024-02-09T00:00:00"/>
    <s v="180000000600"/>
    <s v="IRRECUPERABLE"/>
    <s v="19,897.72"/>
    <s v="LIMA"/>
    <s v="3 JUZGADO DE PAZ LETRADO LINCE SAN ISIDRO"/>
    <x v="0"/>
    <d v="2024-02-07T00:00:00"/>
    <s v="00229-2024-6-1820-JP-CI-03"/>
    <n v="399269"/>
    <x v="1"/>
    <s v="Obligación de dar suma de dinero"/>
    <d v="2024-09-02T00:00:00"/>
    <s v="00229-2024-0-1802-JP-CI-03"/>
    <s v="SENTENCIA O AUTO FINAL"/>
    <s v="ACCIONES Y DERECHOS DE BIEN INMUEBLE QUE LE CORRESPONDEN AL TITULAR UBICADO EN URB, FUNDO CHORRILLOS MZ A1 LT 1 DPTO T.13 EDF.PIS./REF, CHORRILLOS EN LA PARTIDA P03260006"/>
    <s v="05/05/2026 RES 03: CONSENTIDA EL AUTO FINAL Y REQUIERASE EL PAGO"/>
    <s v="ACCIONES Y DERECHOS"/>
    <d v="2026-06-24T00:00:00"/>
    <s v="SI"/>
    <s v="SE NOTIFICA A CLIENTE EN SU VIVIENDA 1 PISO COLOR NEGRO"/>
    <s v="BAJO"/>
    <s v="SINVOLUNTAD DE PAGO/ SIN CAPACIDAD DE PAGO"/>
    <s v="SIN NEGOCIACIÓN"/>
  </r>
  <r>
    <x v="1"/>
    <s v="NIÑO DE GUZMAN/HUAMANI,ALEXANDER"/>
    <s v="MOROTE/CONDORPUSA,MISHELL"/>
    <s v="LORENA PRADA GONZALES"/>
    <s v="ALLCA BARRA, MASEDONIO"/>
    <s v="107180101000016780"/>
    <n v="13300"/>
    <s v="SOLES"/>
    <d v="2022-12-31T00:00:00"/>
    <s v="180000000144"/>
    <s v="IRRECUPERABLE"/>
    <s v="33,563.65"/>
    <s v="LIMA SUR"/>
    <s v="JUZGADO DE PAZ LETRADO DE VILLA EL SALVADOR"/>
    <x v="1"/>
    <m/>
    <m/>
    <m/>
    <x v="2"/>
    <s v="Obligación de dar suma de dinero"/>
    <d v="2022-12-30T00:00:00"/>
    <s v="01038-2022-0-3004-JP-CI-01"/>
    <s v="SENTENCIA O AUTO FINAL"/>
    <s v="NINGUNO"/>
    <s v="26/09/2024REA 05: CONSENTIDO EL AUTO FINAL"/>
    <s v="NINGUNO"/>
    <d v="2026-06-24T00:00:00"/>
    <s v="SI"/>
    <s v="SE NOTIFICA A CLIENTE EN SU VIVIENDA EN VILLA EL SALVADOR"/>
    <s v="BAJO"/>
    <s v="SINVOLUNTAD DE PAGO/ SIN CAPACIDAD DE PAGO"/>
    <s v="SIN NEGOCIACIÓN"/>
  </r>
  <r>
    <x v="1"/>
    <s v="NIÑO DE GUZMAN/HUAMANI,ALEXANDER"/>
    <s v="MOROTE/CONDORPUSA,MISHELL"/>
    <s v="LORENA PRADA GONZALES"/>
    <s v="ARREDONDO BUSTILLOS, NAYELI DAYANA"/>
    <s v="107180101000648141"/>
    <n v="21500"/>
    <s v="SOLES"/>
    <d v="2025-09-20T00:00:00"/>
    <s v="180000005717"/>
    <s v="IRRECUPERABLE"/>
    <s v="24,505.82"/>
    <s v="LIMA"/>
    <s v="3 JUZGADO DE PAZ LETRADO LINCE SAN ISIDRO"/>
    <x v="1"/>
    <m/>
    <m/>
    <m/>
    <x v="2"/>
    <s v="Obligación de dar suma de dinero"/>
    <d v="2025-09-16T00:00:00"/>
    <s v="01529-2025-0-1820-JP-CI-03"/>
    <s v="SENTENCIA O AUTO FINAL"/>
    <s v="NINGUNO"/>
    <s v="19/05/2026 RES 03: CONSENTIDO EL AUTO FINAL Y REQUIERASE PAGO"/>
    <s v="NINGUNO"/>
    <d v="2026-06-25T00:00:00"/>
    <s v="SI"/>
    <s v="SE ENTREGA REQUERIMIENTO EN DOMICILIO"/>
    <s v="BAJO"/>
    <s v="SINVOLUNTAD DE PAGO/ SIN CAPACIDAD DE PAGO"/>
    <s v="SIN NEGOCIACIÓN"/>
  </r>
  <r>
    <x v="1"/>
    <s v="NIÑO DE GUZMAN/HUAMANI,ALEXANDER"/>
    <s v="MOROTE/CONDORPUSA,MISHELL"/>
    <s v="LORENA PRADA GONZALES"/>
    <s v="ARROYO DURAND, RAFAEL"/>
    <s v="107180101000523496"/>
    <n v="16854.52"/>
    <s v="SOLES"/>
    <d v="2025-09-20T00:00:00"/>
    <s v="180000004596"/>
    <s v="IRRECUPERABLE"/>
    <s v="19,870.14"/>
    <s v="LIMA"/>
    <s v="2 JUZGADO DE PAZ LETRADO LINCE SAN ISIDRO"/>
    <x v="1"/>
    <m/>
    <m/>
    <m/>
    <x v="2"/>
    <s v="Obligación de dar suma de dinero"/>
    <d v="2025-09-16T00:00:00"/>
    <s v="01532-2025-0-1820-JP-CI-02"/>
    <s v="SENTENCIA O AUTO FINAL"/>
    <s v="NINGUNO"/>
    <s v="16/06/2026 RES 04: CONSENTIDO EL AUTO FINAL"/>
    <s v="NINGUNO"/>
    <d v="2026-06-26T00:00:00"/>
    <s v="SI"/>
    <s v="SE ENTREGA REQUERIMIENTO EN DOMICILIO"/>
    <s v="BAJO"/>
    <s v="SINVOLUNTAD DE PAGO/ SIN CAPACIDAD DE PAGO"/>
    <s v="SIN NEGOCIACIÓN"/>
  </r>
  <r>
    <x v="1"/>
    <s v="NIÑO DE GUZMAN/HUAMANI,ALEXANDER"/>
    <s v="MOROTE/CONDORPUSA,MISHELL"/>
    <s v="LORENA PRADA GONZALES"/>
    <s v="BOLIVAR BAUTISTA, EDGAR FLORENCIO"/>
    <s v="107024101005956238"/>
    <n v="22000"/>
    <s v="SOLES"/>
    <d v="2025-09-20T00:00:00"/>
    <s v="24000055083"/>
    <s v="IRRECUPERABLE"/>
    <s v="26,278.76"/>
    <s v="LIMA"/>
    <s v="4º JUZGADO DE PAZ LETRADO LINCE- SAN ISIDRO"/>
    <x v="1"/>
    <m/>
    <m/>
    <m/>
    <x v="2"/>
    <s v="Obligación de dar suma de dinero"/>
    <d v="2025-09-16T00:00:00"/>
    <s v="01527-2025-0-1820-JP-CI-04"/>
    <s v="SENTENCIA O AUTO FINAL"/>
    <s v="NINGUNO"/>
    <s v="05/06/2026 ESCRITO: ABSUELVO TRASLADO"/>
    <s v="NINGUNO"/>
    <d v="2026-06-24T00:00:00"/>
    <s v="SI"/>
    <s v="SE ENTREGA REQUERIMIENTO EN DOMICILIO"/>
    <s v="BAJO"/>
    <s v="SINVOLUNTAD DE PAGO/ SIN CAPACIDAD DE PAGO"/>
    <s v="SIN NEGOCIACIÓN"/>
  </r>
  <r>
    <x v="1"/>
    <s v="NIÑO DE GUZMAN/HUAMANI,ALEXANDER"/>
    <s v="MOROTE/CONDORPUSA,MISHELL"/>
    <s v="LORENA PRADA GONZALES"/>
    <s v="CETRONICS SOLUTIONS E.I.R.L"/>
    <s v="107180101000044541"/>
    <n v="11491"/>
    <s v="SOLES"/>
    <d v="2024-05-14T00:00:00"/>
    <s v="180000000387"/>
    <s v="IRRECUPERABLE"/>
    <s v="30,927,08"/>
    <s v="LIMA"/>
    <s v="2 JUZGADO DE PAZ LETRADO LINCE SAN ISIDRO"/>
    <x v="1"/>
    <m/>
    <m/>
    <m/>
    <x v="2"/>
    <s v="Obligación de dar suma de dinero"/>
    <d v="2024-05-10T00:00:00"/>
    <s v="00881-2024-0-1820-JP-CI-02"/>
    <s v="SENTENCIA O AUTO FINAL"/>
    <s v="NINGUNO"/>
    <s v="03/03/2026 RES 09: AUTO FINAL"/>
    <s v="NINGUNO"/>
    <d v="2026-06-24T00:00:00"/>
    <s v="SI"/>
    <s v="SE NOTIFICA A CLIENTE EL RECORDATORIO DE SU PAGO PUNTUAL DE SU CONVENIO."/>
    <s v="MEDIO"/>
    <s v="SINVOLUNTAD DE PAGO/ SIN CAPACIDAD DE PAGO"/>
    <s v="CON NEGOCIACIÓN"/>
  </r>
  <r>
    <x v="1"/>
    <s v="NIÑO DE GUZMAN/HUAMANI,ALEXANDER"/>
    <s v="MOROTE/CONDORPUSA,MISHELL"/>
    <s v="LORENA PRADA GONZALES"/>
    <s v="COBEÑAS SERNAQUE, JULIO CESAR"/>
    <s v="107180101000648848"/>
    <n v="49500"/>
    <s v="SOLES"/>
    <d v="2025-09-20T00:00:00"/>
    <s v="180000005724"/>
    <s v="IRRECUPERABLE"/>
    <s v="54,821.88"/>
    <s v="LIMA"/>
    <s v="11° JUZGADO CIVIL-COMERCIAL"/>
    <x v="1"/>
    <m/>
    <m/>
    <m/>
    <x v="2"/>
    <s v="Obligación de dar suma de dinero"/>
    <d v="2025-09-17T00:00:00"/>
    <s v="21363-2025-0-1828-JR-CO-11"/>
    <s v="SENTENCIA O AUTO FINAL"/>
    <s v="NINGUNO"/>
    <s v="01/07/2026 RES 05: AUTO FINAL"/>
    <s v="NINGUNO"/>
    <d v="2026-06-25T00:00:00"/>
    <s v="SI"/>
    <s v="SE ENTREGA REQUERIMIENTO EN DOMICILIO"/>
    <s v="BAJO"/>
    <s v="SINVOLUNTAD DE PAGO/ SIN CAPACIDAD DE PAGO"/>
    <s v="SIN NEGOCIACIÓN"/>
  </r>
  <r>
    <x v="1"/>
    <s v="NIÑO DE GUZMAN/HUAMANI,ALEXANDER"/>
    <s v="MOROTE/CONDORPUSA,MISHELL"/>
    <s v="LORENA PRADA GONZALES"/>
    <s v="CORPORACION CIARA EIRL"/>
    <s v="107146101000299745"/>
    <n v="27833.71"/>
    <s v="SOLES"/>
    <d v="2022-12-22T00:00:00"/>
    <s v="146000002689"/>
    <s v="IRRECUPERABLE"/>
    <s v="62,679.20"/>
    <s v="LIMA"/>
    <s v="3°JUZGADO CIVIL-COMERCIAL DE LIMA"/>
    <x v="0"/>
    <d v="2022-12-15T00:00:00"/>
    <s v="25110-2022-39-1817-JR-CO-03"/>
    <n v="444058"/>
    <x v="1"/>
    <s v="Obligación de dar suma de dinero"/>
    <d v="2023-03-27T00:00:00"/>
    <s v="25110-2022-0-1817-JR-CO-03"/>
    <s v="EJECUCION / DESIGNACION DE PERITOS"/>
    <s v="(CON HIPOTECA PREVIA DE SCOTIABANK) TOTALIDAD DEL BIEN INMUEBLE DEL FIADOR SOLIDARIO JULIO LAVADO GOMEZ ESTACIONAMIENTO 169 PRIMER PISO JIRON AGUARICO NUMERO 169 URB. CHACRA COLORADA DISTRITO DE BREÑA, LIMA PE 12844299. SEGUNDO RANGO"/>
    <s v="12/05/2026 ESCRITO: LO QUE SE INDICA"/>
    <s v="EN SEGUNDO RANGO A MÁS"/>
    <d v="2026-06-26T00:00:00"/>
    <s v="SI"/>
    <s v="SE NOTIFICA A CLIENTE EN SU VIVIENDA EN CENTRO COMERCIAL MESA REDONDA"/>
    <s v="MEDIO"/>
    <s v="SINVOLUNTAD DE PAGO/ SIN CAPACIDAD DE PAGO"/>
    <s v="SIN NEGOCIACIÓN"/>
  </r>
  <r>
    <x v="1"/>
    <s v="NIÑO DE GUZMAN/HUAMANI,ALEXANDER"/>
    <s v="MOROTE/CONDORPUSA,MISHELL"/>
    <s v="LORENA PRADA GONZALES"/>
    <s v="FERNANDEZ GARCIA, MARIA ESTHER"/>
    <s v="107180101000560845"/>
    <n v="50000"/>
    <s v="SOLES"/>
    <d v="2025-09-20T00:00:00"/>
    <s v="180000004938"/>
    <s v="IRRECUPERABLE"/>
    <s v="58,461.09"/>
    <s v="LIMA"/>
    <s v="5° JUZGADO CIVIL-COMERCIAL DE LIMA"/>
    <x v="1"/>
    <m/>
    <m/>
    <m/>
    <x v="2"/>
    <s v="Obligación de dar suma de dinero"/>
    <d v="2025-09-17T00:00:00"/>
    <s v="21368-2025-0-1828-JR-CO-05"/>
    <s v="ADMISION"/>
    <s v="NINGUNO"/>
    <s v="26/05/2026 ESCRITO: AUTO FINAL"/>
    <s v="NINGUNO"/>
    <d v="2026-06-26T00:00:00"/>
    <s v="SI"/>
    <s v="SE ENTREGA REQUERIMIENTO EN DOMICILIO"/>
    <s v="BAJO"/>
    <s v="SINVOLUNTAD DE PAGO/ SIN CAPACIDAD DE PAGO"/>
    <s v="SIN NEGOCIACIÓN"/>
  </r>
  <r>
    <x v="1"/>
    <s v="NIÑO DE GUZMAN/HUAMANI,ALEXANDER"/>
    <s v="MOROTE/CONDORPUSA,MISHELL"/>
    <s v="LORENA PRADA GONZALES"/>
    <s v="GALVEZ DIAZ, ISABEL CRISTINA"/>
    <s v="107180101000393083"/>
    <n v="34907.26"/>
    <s v="SOLES"/>
    <d v="2025-08-26T00:00:00"/>
    <s v="180000003424"/>
    <s v="RECUPERABLE"/>
    <s v="43,636.56"/>
    <s v="LIMA"/>
    <s v="3° JUZGADO DE PAZ LETRADO BARRANCO Y MIRAFLORES"/>
    <x v="0"/>
    <d v="2025-08-26T00:00:00"/>
    <s v="03789-2025-11-1866-JP-CI-03"/>
    <n v="761252"/>
    <x v="1"/>
    <s v="Obligación de dar suma de dinero"/>
    <d v="2025-12-04T00:00:00"/>
    <s v="03789-2025-0-1809-JP-CI-03"/>
    <s v="ADMISION"/>
    <s v="TOTALIDAD DEL BIEN QUE LE CORRESPONDEN AL TITULAR GALVEZ DIAZ ISABEL CRISTINA, DEL BIEN INMUEBLE UBICADO EN LOTE 10 MANZANA V FRENTE A LA CALLE K, URBANIZACION SAN CARLOS, SAN JUAN DE LURIGANCHO, INSCRITO EN LA PARTIDA ELECTRONICA Nº 15854364 DEL REGISTRO DE PROPIEDAD INMUEBLE."/>
    <s v="16/02/2026 ESCRITO: SOLICITO AUTO FINAL"/>
    <s v="TOTALIDAD DEL INMUEBLE"/>
    <d v="2026-06-15T00:00:00"/>
    <s v="SI"/>
    <s v="SE ENTREGA REQUERIMIENTO EN DOMICILIO"/>
    <s v="MEDIO"/>
    <s v="SINVOLUNTAD DE PAGO/ SIN CAPACIDAD DE PAGO"/>
    <s v="CON NEGOCIACIÓN"/>
  </r>
  <r>
    <x v="1"/>
    <s v="NIÑO DE GUZMAN/HUAMANI,ALEXANDER"/>
    <s v="MOROTE/CONDORPUSA,MISHELL"/>
    <s v="LORENA PRADA GONZALES"/>
    <s v="HUARCAYA MORALES, KATHERINE LIZBETH"/>
    <s v="107180101000600961"/>
    <n v="20000"/>
    <s v="SOLES"/>
    <d v="2025-09-20T00:00:00"/>
    <s v="180000005289"/>
    <s v="IRRECUPERABLE"/>
    <s v="23,221.55"/>
    <s v="LIMA"/>
    <s v="2 JUZGADO DE PAZ LETRADO LINCE SAN ISIDRO"/>
    <x v="1"/>
    <m/>
    <m/>
    <m/>
    <x v="2"/>
    <s v="Obligación de dar suma de dinero"/>
    <d v="2025-09-16T00:00:00"/>
    <s v="01528-2025-0-1820-JP-CI-02"/>
    <s v="ADMISION"/>
    <s v="NINGUNO"/>
    <s v="09/06/2026 RES 05: SOBRECARTESE A LAS PARTES"/>
    <s v="NINGUNO"/>
    <d v="2026-06-26T00:00:00"/>
    <s v="SI"/>
    <s v="SE ENTREGA REQUERIMIENTO EN DOMICILIO"/>
    <s v="BAJO"/>
    <s v="SINVOLUNTAD DE PAGO/ SIN CAPACIDAD DE PAGO"/>
    <s v="SIN NEGOCIACIÓN"/>
  </r>
  <r>
    <x v="1"/>
    <s v="NIÑO DE GUZMAN/HUAMANI,ALEXANDER"/>
    <s v="MOROTE/CONDORPUSA,MISHELL"/>
    <s v="LORENA PRADA GONZALES"/>
    <s v="INCHAUSTEGUI NUÑEZ, JEAN FRANCOIS"/>
    <s v="107180101000322405"/>
    <n v="15359.45"/>
    <s v="SOLES"/>
    <d v="2024-11-30T00:00:00"/>
    <s v="180000004638"/>
    <s v="RECUPERABLE"/>
    <s v="41,589,99"/>
    <s v="LIMA"/>
    <s v="2 JUZGADO DE PAZ LETRADO BARRANCO - MIRAFLORES"/>
    <x v="0"/>
    <d v="2024-11-22T00:00:00"/>
    <s v="05294-2024-52-1866-JP-CI-02"/>
    <m/>
    <x v="1"/>
    <s v="Obligación de dar suma de dinero"/>
    <d v="2025-01-08T00:00:00"/>
    <s v="05294-2024-0-1809-JP-CI-02"/>
    <s v="ADMISION"/>
    <s v="ACCIONES Y DERECHOS SOBRE VEHICULO DE PLACA D4C503"/>
    <s v="11/06/2026 RES 04: SE SUSPENDE EL PROCESO POR CONVENIO"/>
    <s v="ACCIONES Y DERECHOS"/>
    <d v="2026-06-26T00:00:00"/>
    <s v="SI"/>
    <s v="SE NOTIFICA A CLIENTE EL RECORDATORIO DE SU PAGO PUNTUAL DE SU CONVENIO."/>
    <s v="MEDIO"/>
    <s v="CON VOLUNTAD DE PAGO/ CON CAPACIDAD"/>
    <s v="CON NEGOCIACIÓN"/>
  </r>
  <r>
    <x v="1"/>
    <s v="NIÑO DE GUZMAN/HUAMANI,ALEXANDER"/>
    <s v="MOROTE/CONDORPUSA,MISHELL"/>
    <s v="LORENA PRADA GONZALES"/>
    <s v="JALIRE MAMANI, CRISTIAN FREDDY"/>
    <s v="107180101000545515"/>
    <n v="45000"/>
    <s v="SOLES"/>
    <d v="2025-09-20T00:00:00"/>
    <s v="180000004799"/>
    <s v="IRRECUPERABLE"/>
    <s v="53,607.97"/>
    <s v="LIMA"/>
    <s v="17°JUZGADO CIVIL-COMERCIAL DE LIMA"/>
    <x v="1"/>
    <m/>
    <m/>
    <m/>
    <x v="2"/>
    <s v="Obligación de dar suma de dinero"/>
    <d v="2025-09-17T00:00:00"/>
    <s v="21364-2025-0-1828-JR-CO-17"/>
    <s v="SENTENCIA O AUTO FINAL"/>
    <s v="NINGUNO"/>
    <s v="25/04/2026 RES 08: SE NOTIFICARA EN CASILLA FISICA"/>
    <s v="NINGUNO"/>
    <d v="2026-06-26T00:00:00"/>
    <s v="SI"/>
    <s v="SE ENTREGA REQUERIMIENTO EN DOMICILIO"/>
    <s v="BAJO"/>
    <s v="SINVOLUNTAD DE PAGO/ SIN CAPACIDAD DE PAGO"/>
    <s v="SIN NEGOCIACIÓN"/>
  </r>
  <r>
    <x v="1"/>
    <s v="NIÑO DE GUZMAN/HUAMANI,ALEXANDER"/>
    <s v="MOROTE/CONDORPUSA,MISHELL"/>
    <s v="LORENA PRADA GONZALES"/>
    <s v="LINARES CHAVEZ, LESLY YUDITH"/>
    <s v="107146101000826501"/>
    <n v="18868.82"/>
    <s v="SOLES"/>
    <d v="2024-11-05T00:00:00"/>
    <s v="146000006826"/>
    <s v="RECUPERABLE"/>
    <s v="23,603,76"/>
    <s v="LIMA"/>
    <s v="3° JUZGADO DE PAZ LETRADO BARRANCO Y MIRAFLORES"/>
    <x v="0"/>
    <d v="2024-11-05T00:00:00"/>
    <s v="05129-2024-78-1866-JP-CI-03"/>
    <n v="240343"/>
    <x v="1"/>
    <s v="Obligación de dar suma de dinero"/>
    <d v="2024-12-18T00:00:00"/>
    <s v="05129-2024-0-1809-JP-CI-03"/>
    <s v="SENTENCIA O AUTO FINAL"/>
    <s v="TERCER RANGO ( 1 RANGO BCP, 2 RANGO MI BANCO)DE LA TOTALIDAD DEL BIEN DEL FIADOR LINARES CHAVEZ ALICIA, UBICADO EN PUEBLO JOVEN SAN HILARION MZ H LT 29, SAN JUAN DE LURIGANCHO, LIMA P: P02055808"/>
    <s v="26/05/2026 ESCRITO: CONSENTIMIENTO Y REQUERIMIENTO"/>
    <s v="TOTALIDAD DEL INMUEBLE"/>
    <d v="2026-06-26T00:00:00"/>
    <s v="SI"/>
    <s v="SE NOTIFICA A CLIENTE EN SU VIVIENDA PORTON PLOMO"/>
    <s v="ALTO"/>
    <s v="SINVOLUNTAD DE PAGO/ SIN CAPACIDAD DE PAGO"/>
    <s v="SIN NEGOCIACIÓN"/>
  </r>
  <r>
    <x v="1"/>
    <s v="NIÑO DE GUZMAN/HUAMANI,ALEXANDER"/>
    <s v="MOROTE/CONDORPUSA,MISHELL"/>
    <s v="LORENA PRADA GONZALES"/>
    <s v="LINARES CHAVEZ, LUZBETH"/>
    <s v="107180101000436172"/>
    <n v="11401.55"/>
    <s v="SOLES"/>
    <d v="2024-10-15T00:00:00"/>
    <s v="180000003803"/>
    <s v="RECUPERABLE"/>
    <s v="23,014,43"/>
    <s v="LIMA"/>
    <s v="2 JUZGADO DE PAZ LETRADO BARRANCO - MIRAFLORES"/>
    <x v="0"/>
    <d v="2024-11-14T00:00:00"/>
    <s v="04831-2024-85-1866-JP-CI-02"/>
    <n v="796425"/>
    <x v="1"/>
    <s v="Obligación de dar suma de dinero"/>
    <d v="2025-01-08T00:00:00"/>
    <s v="04831-2024-0-1809-JP-CI-02"/>
    <s v="EJECUCION / DESIGNACION DE PERITOS"/>
    <s v="TOTALIDAD DEL FIADOR (1 RANGO) LINARES CHAVEZ ALICIA UBICADO EN PUEBLO JOVEN SAN HILARION MZ H LT 29 SAN JUAN DE LURIGANCHO, LIMA, LIMA(2 RANGO) P: P02055808"/>
    <s v="26/05/2026 ESCRITO: SOLICITA SE RETOME LA EJECUCIÓN FORZADA Y SE REANUDE TASACIÓN DEL BIEN INMUEBLE"/>
    <s v="TOTALIDAD DEL INMUEBLE"/>
    <d v="2026-06-26T00:00:00"/>
    <s v="SI"/>
    <s v="SE NOTIFICA A CLIENTE EN SU VIVIENDA PORTON PLOMO"/>
    <s v="MEDIO"/>
    <s v="SINVOLUNTAD DE PAGO/ SIN CAPACIDAD DE PAGO"/>
    <s v="SIN NEGOCIACIÓN"/>
  </r>
  <r>
    <x v="1"/>
    <s v="NIÑO DE GUZMAN/HUAMANI,ALEXANDER"/>
    <s v="MOROTE/CONDORPUSA,MISHELL"/>
    <s v="LORENA PRADA GONZALES"/>
    <s v="MENA RAMIREZ, MARCO ANTONIO"/>
    <s v="107146101000306251"/>
    <n v="0"/>
    <s v="SOLES"/>
    <d v="2023-05-24T00:00:00"/>
    <s v="146000002749"/>
    <s v="RECUPERABLE"/>
    <s v="41,459.59"/>
    <s v="LIMA"/>
    <s v="4° JUZGADO DE PAZ LETRADO LA VICTORIA Y SAN LUIS"/>
    <x v="0"/>
    <d v="2023-05-22T00:00:00"/>
    <s v="00753-2023-46-1814-JP-CI-04"/>
    <s v="CC: 359503"/>
    <x v="1"/>
    <s v="Obligación de dar suma de dinero"/>
    <d v="2023-08-07T00:00:00"/>
    <s v="00753-2023-0-1814-JP-CI-04"/>
    <s v="SENTENCIA O AUTO FINAL"/>
    <s v="TOTALIDAD DEL INMUEBLE UBICADO EN PASAJE EMMA DETTMANN DE GUTIERREZ MZ B LOTE 7 URB HELY CHAVEZ LA PERLA CALLAO P.E. 70058194 SEGUNDO RANGO HIPOTECA A FAVOR DE BBVA POR US$82,000"/>
    <s v="01/12/2025RES 03: CONSENTIDO EL AUTO FINAL"/>
    <s v="EN SEGUNDO RANGO A MÁS"/>
    <d v="2026-06-26T00:00:00"/>
    <s v="SI"/>
    <s v="SE NOTIFICA A CLIENTE EL RECORDATORIO DE SU PAGO PUNTUAL DE SU CONVENIO."/>
    <s v="MEDIO"/>
    <s v="CON VOLUNTAD DE PAGO/ CON CAPACIDAD"/>
    <s v="CON NEGOCIACIÓN"/>
  </r>
  <r>
    <x v="1"/>
    <s v="NIÑO DE GUZMAN/HUAMANI,ALEXANDER"/>
    <s v="MOROTE/CONDORPUSA,MISHELL"/>
    <s v="LORENA PRADA GONZALES"/>
    <s v="MINIMARKET EL MERCADER S.A.C"/>
    <s v="107180101000256788"/>
    <n v="25944.11"/>
    <s v="SOLES"/>
    <d v="2025-05-10T00:00:00"/>
    <s v="180000003152"/>
    <s v="RECUPERABLE"/>
    <s v="21,960,55"/>
    <s v="LIMA"/>
    <s v="3° JUZGADO DE PAZ LETRADO BARRANCO Y MIRAFLORES"/>
    <x v="0"/>
    <d v="2024-11-05T00:00:00"/>
    <s v="05130-2024-72-1866-JP-CI-03"/>
    <n v="352677"/>
    <x v="1"/>
    <s v="Obligación de dar suma de dinero"/>
    <d v="2024-12-26T00:00:00"/>
    <s v="05130-2024-0-1809-JP-CI-03"/>
    <s v="ADMISION"/>
    <s v="LA TOTALIDAD DEL VEHICULO QUE LE CORRESPONDE AL FIADOR RIOS CARRASCO DIOMAR SANTOS DE PLACA: ADW003, MARCA: BMW, MODELO X4 AÑO 2015, COLOR METALIZADO"/>
    <s v="15/05/2026 RES 09 PONGANSE AUTOS A DESPACHO"/>
    <s v="TOTALIDAD DEL MUEBLE"/>
    <d v="2026-06-24T00:00:00"/>
    <s v="SI"/>
    <s v="SE NOTIFICA A CLIENTE EL RECORDATORIO DE SU PAGO PUNTUAL DE SU CONVENIO."/>
    <s v="ALTO"/>
    <s v="CON VOLUNTAD DE PAGO/ CON CAPACIDAD"/>
    <s v="CON NEGOCIACIÓN"/>
  </r>
  <r>
    <x v="1"/>
    <s v="NIÑO DE GUZMAN/HUAMANI,ALEXANDER"/>
    <s v="MOROTE/CONDORPUSA,MISHELL"/>
    <s v="LORENA PRADA GONZALES"/>
    <s v="MINIMARKET EL MERCADER S.A.C"/>
    <s v="107180101000363808"/>
    <n v="8533.92"/>
    <s v="SOLES"/>
    <d v="2024-11-07T00:00:00"/>
    <s v="180000003152"/>
    <s v="RECUPERABLE"/>
    <s v="21,960,55"/>
    <s v="LIMA"/>
    <s v="3° JUZGADO DE PAZ LETRADO BARRANCO Y MIRAFLORES"/>
    <x v="0"/>
    <d v="2024-11-05T00:00:00"/>
    <s v="05130-2024-72-1866-JP-CI-03"/>
    <n v="352677"/>
    <x v="1"/>
    <s v="Obligación de dar suma de dinero"/>
    <d v="2024-12-26T00:00:00"/>
    <s v="05130-2024-0-1809-JP-CI-03"/>
    <s v="ADMISION"/>
    <s v="LA TOTALIDAD DEL VEHICULO QUE LE CORRESPONDE AL FIADOR RIOS CARRASCO DIOMAR SANTOS DE PLACA: ADW003, MARCA: BMW, MODELO X4 AÑO 2015, COLOR METALIZADO"/>
    <s v="10/04/2026 ESCRITO: ABSUELVO CONTRADICCION"/>
    <s v="TOTALIDAD DEL MUEBLE"/>
    <d v="2026-06-26T00:00:00"/>
    <s v="SI"/>
    <s v="SE NOTIFICA A CLIENTE EL RECORDATORIO DE SU PAGO PUNTUAL DE SU CONVENIO."/>
    <s v="ALTO"/>
    <s v="CON VOLUNTAD DE PAGO/ CON CAPACIDAD"/>
    <s v="CON NEGOCIACIÓN"/>
  </r>
  <r>
    <x v="1"/>
    <s v="NIÑO DE GUZMAN/HUAMANI,ALEXANDER"/>
    <s v="MOROTE/CONDORPUSA,MISHELL"/>
    <s v="LORENA PRADA GONZALES"/>
    <s v="MORALES INOÑAN, ISABEL GUADALUPE"/>
    <s v="107180101000234281"/>
    <n v="20193.79"/>
    <s v="SOLES"/>
    <d v="2023-08-31T00:00:00"/>
    <s v="180000001997"/>
    <s v="RECUPERABLE"/>
    <s v="39,040.32"/>
    <s v="LIMA"/>
    <s v="3 JUZGADO DE PAZ LETRADO LINCE SAN ISIDRO"/>
    <x v="0"/>
    <d v="2023-08-23T00:00:00"/>
    <s v="01835-2023-20-1802-JP-CI-03"/>
    <s v="CC: 910209"/>
    <x v="1"/>
    <s v="Obligación de dar suma de dinero"/>
    <d v="2024-01-18T00:00:00"/>
    <s v="01835-2023-0-1802-JP-CI-03"/>
    <s v="SENTENCIA O AUTO FINAL"/>
    <s v="ACCIONES Y DERECHOS QUE LE CORRESPONDE AL FIADOR WILLIAM ARMANDO INOÑAN REYES SOBRE EL PREDIO UBICADO EN PUEBLO TRADICIONAL JAYANCA MZ. 1E LOTE 30 DISTRITO DE JAYANCA, LAMBAYEQUE, CHICLAYO PE P10145505"/>
    <s v="05/08/2025RES 17: AUTO FINAL"/>
    <s v="ACCIONES Y DERECHOS"/>
    <d v="2026-06-24T00:00:00"/>
    <s v="SI"/>
    <s v="SE NOTIFICA A CLIENTE EL RECORDATORIO DE SU PAGO PUNTUAL DE SU CONVENIO."/>
    <s v="BAJO"/>
    <s v="CON VOLUNTAD DE PAGO/ CON CAPACIDAD"/>
    <s v="CON NEGOCIACIÓN"/>
  </r>
  <r>
    <x v="1"/>
    <s v="NIÑO DE GUZMAN/HUAMANI,ALEXANDER"/>
    <s v="MOROTE/CONDORPUSA,MISHELL"/>
    <s v="LORENA PRADA GONZALES"/>
    <s v="NARVAJA AQUINO, YULY MADAI"/>
    <s v="107180101000724194"/>
    <n v="52960.800000000003"/>
    <s v="SOLES"/>
    <d v="2025-10-31T00:00:00"/>
    <s v="TESTIMONIO"/>
    <s v="RECUPERABLE"/>
    <s v="85215.05"/>
    <s v="LIMA"/>
    <s v="13°JUZGADO CIVIL-COMERCIAL DE LIMA"/>
    <x v="1"/>
    <m/>
    <m/>
    <m/>
    <x v="2"/>
    <s v="Ejecución de garantía"/>
    <d v="2025-10-31T00:00:00"/>
    <s v="28843-2025-0-1828-JR-CO-09"/>
    <s v="ADMISION"/>
    <s v="LA TOTALIDAD DEL BIEN UBICADO EN ASENTAMIENTO HUMANO PERUANOS UNIDOS MZ A LOTE 7 PARCELA C SECTOR EL AMAUTA DISTRITO DE SAN JUAN DE LURIGANCHO PROVINCIA Y DEPARTAMENTO DE LIMA INSCRITO EN LA PARTIDA ELECTRONICA P02164889"/>
    <s v="28/05/2026 RES 02: TENGASE ABSUELTA LA CONTRADICCION"/>
    <s v="TOTALIDAD DEL INMUEBLE"/>
    <d v="2026-06-25T00:00:00"/>
    <s v="SI"/>
    <s v="SE ENTREGA REQUERIMIENTO EN DOMICILIO"/>
    <s v="ALTO"/>
    <s v="SINVOLUNTAD DE PAGO/ SIN CAPACIDAD DE PAGO"/>
    <s v="SIN NEGOCIACIÓN"/>
  </r>
  <r>
    <x v="1"/>
    <s v="NIÑO DE GUZMAN/HUAMANI,ALEXANDER"/>
    <s v="MOROTE/CONDORPUSA,MISHELL"/>
    <s v="LORENA PRADA GONZALES"/>
    <s v="NARVAJA AQUINO, YULY MADAI"/>
    <s v="107024101006185988"/>
    <n v="24885"/>
    <s v="SOLES"/>
    <d v="2025-10-31T00:00:00"/>
    <s v="TESTIMONIO"/>
    <s v="RECUPERABLE"/>
    <s v="85215.05"/>
    <s v="LIMA"/>
    <s v="13°JUZGADO CIVIL-COMERCIAL DE LIMA"/>
    <x v="1"/>
    <m/>
    <m/>
    <m/>
    <x v="2"/>
    <s v="Ejecución de garantía"/>
    <d v="2025-10-31T00:00:00"/>
    <s v="28843-2025-0-1828-JR-CO-09"/>
    <s v="ADMISION"/>
    <s v="LA TOTALIDAD DEL BIEN UBICADO EN ASENTAMIENTO HUMANO PERUANOS UNIDOS MZ A LOTE 7 PARCELA C SECTOR EL AMAUTA DISTRITO DE SAN JUAN DE LURIGANCHO PROVINCIA Y DEPARTAMENTO DE LIMA INSCRITO EN LA PARTIDA ELECTRONICA P02164889"/>
    <s v="07/04/2026 ESCRITO: ABSUELVO CONTRADICCION"/>
    <s v="TOTALIDAD DEL INMUEBLE"/>
    <d v="2026-06-25T00:00:00"/>
    <s v="SI"/>
    <s v="SE ENTREGA REQUERIMIENTO EN DOMICILIO"/>
    <s v="ALTO"/>
    <s v="SINVOLUNTAD DE PAGO/ SIN CAPACIDAD DE PAGO"/>
    <s v="SIN NEGOCIACIÓN"/>
  </r>
  <r>
    <x v="1"/>
    <s v="NIÑO DE GUZMAN/HUAMANI,ALEXANDER"/>
    <s v="MOROTE/CONDORPUSA,MISHELL"/>
    <s v="LORENA PRADA GONZALES"/>
    <s v="PACHAS CUADROS, JUAN CARLOS"/>
    <s v="107180101000325880"/>
    <n v="8056.1"/>
    <s v="SOLES"/>
    <d v="2025-01-30T00:00:00"/>
    <s v="180000004501"/>
    <s v="RECUPERABLE"/>
    <s v="18,653,15"/>
    <s v="LIMA"/>
    <s v="2 JUZGADO DE PAZ LETRADO BARRANCO - MIRAFLORES"/>
    <x v="0"/>
    <d v="2025-01-21T00:00:00"/>
    <s v="00159-2025-81-1866-JP-CI-02"/>
    <n v="601930"/>
    <x v="1"/>
    <s v="Obligación de dar suma de dinero"/>
    <d v="2025-03-04T00:00:00"/>
    <s v="00159-2025-0-1809-JP-CI-02"/>
    <s v="SENTENCIA O AUTO FINAL"/>
    <s v="TOTALIDAD DEL INMUEBLE (1 RANGO) QUE LE CORRESPONDE AL TITULAR, P: 70095105, UBICADO EN DEP 401- 4 PISO Y TENDAL 5 PISO, CALLE LAS GAVIOTAS 396, BELLAVISTA, CALLAO"/>
    <s v="10/06/2026 RES 03: CONSENTIDA EL AUTO FINAL"/>
    <s v="TOTALIDAD DEL INMUEBLE"/>
    <d v="2026-06-26T00:00:00"/>
    <s v="SI"/>
    <s v="SE NOTIFICA A CLIENTE EL RECORDATORIO DE SU PAGO PUNTUAL DE SU CONVENIO."/>
    <s v="MEDIO"/>
    <s v="CON VOLUNTAD DE PAGO/ CON CAPACIDAD"/>
    <s v="CON NEGOCIACIÓN"/>
  </r>
  <r>
    <x v="1"/>
    <s v="NIÑO DE GUZMAN/HUAMANI,ALEXANDER"/>
    <s v="MOROTE/CONDORPUSA,MISHELL"/>
    <s v="LORENA PRADA GONZALES"/>
    <s v="RIOS CARRASCO, NATALIE VALERIA"/>
    <s v="107180101000634051"/>
    <n v="27577.64"/>
    <s v="SOLES"/>
    <d v="2024-11-19T00:00:00"/>
    <s v="180000005588"/>
    <s v="RECUPERABLE"/>
    <s v="52,362,38"/>
    <s v="LIMA"/>
    <s v="6 JUZGADO COMERCIAL DE LIMA"/>
    <x v="0"/>
    <d v="2024-11-18T00:00:00"/>
    <s v="34912-2024-77-1828-JR-CO-06"/>
    <n v="673712"/>
    <x v="1"/>
    <s v="Obligación de dar suma de dinero"/>
    <d v="2025-02-14T00:00:00"/>
    <s v="34912-2024-0-1817-JR-CO-06"/>
    <s v="ADMISION"/>
    <s v="ACCIONES Y DERECHOS QUE LE CORRESPONDE A RIOS ONTON SANTOS, / P: P01268902 / ASOC. PRO VIVIENDA DE LOS TRABAJADORES DEL PUERTO DEL CALLAO MZ R LT 36 CALLAO, LIMA"/>
    <s v="15/05/2026 ESCRITO:; ADJUNTO COPIAS CON FIRMA ELECTRONICO"/>
    <s v="ACCIONES Y DERECHOS"/>
    <d v="2026-06-26T00:00:00"/>
    <s v="SI"/>
    <s v="SE NOTIFICA A CLIENTE EL RECORDATORIO DE SU PAGO PUNTUAL DE SU CONVENIO."/>
    <s v="MEDIO"/>
    <s v="CON VOLUNTAD DE PAGO/ CON CAPACIDAD"/>
    <s v="CON NEGOCIACIÓN"/>
  </r>
  <r>
    <x v="1"/>
    <s v="NIÑO DE GUZMAN/HUAMANI,ALEXANDER"/>
    <s v="MOROTE/CONDORPUSA,MISHELL"/>
    <s v="LORENA PRADA GONZALES"/>
    <s v="TORRES CERRON, EVA"/>
    <s v="107024101005383939"/>
    <n v="0"/>
    <s v="SOLES"/>
    <d v="2024-05-06T00:00:00"/>
    <s v="24000049943"/>
    <s v="RECUPERABLE"/>
    <s v="21,121.48"/>
    <s v="LIMA"/>
    <s v="3° JUZGADO DE PAZ LETRADO BARRANCO Y MIRAFLORES"/>
    <x v="0"/>
    <d v="2025-05-03T00:00:00"/>
    <s v="01743-2024-1-1866-JP-CI-03"/>
    <n v="534586"/>
    <x v="1"/>
    <s v="Obligación de dar suma de dinero"/>
    <d v="2024-09-20T00:00:00"/>
    <s v="01743-2024-0-1809-JP-CI-03"/>
    <s v="SENTENCIA O AUTO FINAL"/>
    <s v="TOTALIDAD DEL INMUEBLE (1 RANGO) UBICADO EN UNIDAD INMOBILIARIA NUMERO TRES SEGUNDO PISO CALLE ANDRES AVELINO CACERES MANZANA Z-2 LOTE 33 URB UNIVERSAL PRIMERA Y SEGUNDA ETAPA SANTA ANITA PARTIDA ELECTRONICA 15377852"/>
    <s v="03/06/2025RES 06: AUTO FINAL"/>
    <s v="TOTALIDAD DEL INMUEBLE"/>
    <d v="2026-06-24T00:00:00"/>
    <s v="SI"/>
    <s v="SE NOTIFICA A CLIENTE EL RECORDATORIO DE SU PAGO PUNTUAL DE SU CONVENIO."/>
    <s v="ALTO"/>
    <s v="CON VOLUNTAD DE PAGO/ CON CAPACIDAD"/>
    <s v="CON NEGOCIACIÓN"/>
  </r>
  <r>
    <x v="1"/>
    <s v="NIÑO DE GUZMAN/HUAMANI,ALEXANDER"/>
    <s v="MOROTE/CONDORPUSA,MISHELL"/>
    <s v="LORENA PRADA GONZALES"/>
    <s v="VELASQUEZ CONTRERAS, ROBERT NICOLAS"/>
    <s v="107180101000592327"/>
    <n v="14184.82"/>
    <s v="SOLES"/>
    <d v="2025-09-05T00:00:00"/>
    <s v="180000005210"/>
    <s v="RECUPERABLE"/>
    <s v="26,036.63"/>
    <s v="LIMA"/>
    <s v="2 JUZGADO DE PAZ LETRADO BARRANCO - MIRAFLORES"/>
    <x v="0"/>
    <d v="2025-08-26T00:00:00"/>
    <s v="03790-2025-17-1866-JP-CI-02"/>
    <n v="915117"/>
    <x v="1"/>
    <s v="Obligación de dar suma de dinero"/>
    <d v="2025-09-23T00:00:00"/>
    <s v="03790-2025-0-1809-JP-CI-02"/>
    <s v="ADMISION"/>
    <s v="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
    <s v="04/03/2026 RES 1: ADMITIDA FORMALIZACION"/>
    <s v="TOTALIDAD DEL INMUEBLE"/>
    <d v="2026-06-26T00:00:00"/>
    <s v="SI"/>
    <s v="SE ENTREGA REQUERIMIENTO EN DOMICILIO"/>
    <s v="MEDIO"/>
    <s v="SINVOLUNTAD DE PAGO/ SIN CAPACIDAD DE PAGO"/>
    <s v="CON NEGOCIACIÓN"/>
  </r>
  <r>
    <x v="1"/>
    <s v="NIÑO DE GUZMAN/HUAMANI,ALEXANDER"/>
    <s v="MOROTE/CONDORPUSA,MISHELL"/>
    <s v="LORENA PRADA GONZALES"/>
    <s v="VILLARREAL APAZA, FATIMA RUTH"/>
    <s v="107180101000560340"/>
    <n v="24333.200000000001"/>
    <s v="SOLES"/>
    <d v="2025-09-20T00:00:00"/>
    <s v="180000004933"/>
    <s v="RECUPERABLE"/>
    <s v="35,449.77"/>
    <s v="LIMA"/>
    <s v="3° JUZGADO DE PAZ LETRADO BARRANCO Y MIRAFLORES"/>
    <x v="0"/>
    <d v="2025-09-16T00:00:00"/>
    <s v="04328-2025-45-1866-JP-CI-03"/>
    <n v="882478"/>
    <x v="1"/>
    <s v="Obligación de dar suma de dinero"/>
    <d v="2026-01-20T00:00:00"/>
    <s v="04328-2025-0-1809-JP-CI-03"/>
    <s v="ADMISION"/>
    <s v="TOTALIDAD DEL BIEN INMUEBLE QUE LE CORRESPONDEN AL TITULAR VILLARREAL APAZA, FATIMA RUTH, UBICADO EN DEPARTAMENTO INTERIOR H, JIRON CAPITAN ULISES DELBOY NUMERO 929,MAGDALENA DEL MAR, LIMA, LIMA., INSCRITO EN LA PARTIDA ELECTRONICA Nº 42416002"/>
    <s v="20/04/2026 ESCRITO: ADJUNTO ARANCEL"/>
    <s v="TOTALIDAD DEL INMUEBLE"/>
    <d v="2026-06-26T00:00:00"/>
    <s v="SI"/>
    <s v="SE ENTREGA REQUERIMIENTO EN DOMICILIO"/>
    <s v="MEDIO"/>
    <s v="SINVOLUNTAD DE PAGO/ SIN CAPACIDAD DE PAGO"/>
    <s v="CON NEGOCIACIÓN"/>
  </r>
  <r>
    <x v="2"/>
    <s v="NIÑO DE GUZMAN/HUAMANI,ALEXANDER"/>
    <s v="HINOSTROZA/ILDEFONSO, DIEGO ANDREE"/>
    <s v="LORENA PRADA GONZALES"/>
    <s v="633 ASESORES CONSULTORES PROPIEDADES S.A.C."/>
    <s v="107038101002142908"/>
    <n v="31709.07"/>
    <s v="SOLES"/>
    <d v="2023-10-21T00:00:00"/>
    <s v="38000019522"/>
    <s v="IRRECUPERABLE"/>
    <s v="44,462.02"/>
    <s v="LIMA"/>
    <s v="2 JUZGADO DE PAZ LETRADO BARRANCO - MIRAFLORES"/>
    <x v="1"/>
    <m/>
    <m/>
    <m/>
    <x v="2"/>
    <s v="Obligación de dar suma de dinero"/>
    <d v="2023-10-12T00:00:00"/>
    <s v="05001-2023-0-1809-JP-CI-02"/>
    <s v="SENTENCIA O AUTO FINAL"/>
    <s v="NINGUNO"/>
    <s v="08/09/2025RES 05: APERSONADOS"/>
    <s v="NINGUNO"/>
    <d v="2026-06-23T00:00:00"/>
    <s v="SI"/>
    <s v="SE NOTIFICA A CLIENTE EN SU VIVIENDA 4 PISOS COLOR LADRILLO DEPARTAMENTO 102"/>
    <s v="MEDIO"/>
    <s v="SINVOLUNTAD DE PAGO/ SIN CAPACIDAD DE PAGO"/>
    <s v="SIN NEGOCIACIÓN"/>
  </r>
  <r>
    <x v="2"/>
    <s v="NIÑO DE GUZMAN/HUAMANI,ALEXANDER"/>
    <s v="HINOSTROZA/ILDEFONSO, DIEGO ANDREE"/>
    <s v="LORENA PRADA GONZALES"/>
    <s v="ABRIENDO JUEGO S.A.C."/>
    <s v="107038101002168324"/>
    <n v="43200"/>
    <s v="SOLES"/>
    <d v="2023-07-20T00:00:00"/>
    <s v="TESTIMONIO"/>
    <s v="RECUPERABLE"/>
    <s v="73,519.96"/>
    <s v="LIMA"/>
    <s v="13°JUZGADO CIVIL-COMERCIAL DE LIMA"/>
    <x v="1"/>
    <m/>
    <m/>
    <m/>
    <x v="2"/>
    <s v="Ejecución de garantía"/>
    <d v="2023-07-17T00:00:00"/>
    <s v="14678-2023-0-1817-JR-CO-13"/>
    <s v="ADMISION"/>
    <s v="MARCA CHEVROLET, MODELO CAPTIVA, DEL AÑO 2013, DE PLACA ADM100 Y REGISTRADA EN LA PARTIDA N° ADM100"/>
    <s v="11/06/2026 ESCRITO: SE OFICIE A LA FISCALIA PROVINCIAL PENAL"/>
    <s v="TOTALIDAD DEL MUEBLE"/>
    <d v="2026-06-23T00:00:00"/>
    <s v="SI"/>
    <s v="SE ENTREGA REQUERIMIENTO EN DOMICILIO"/>
    <s v="ALTO"/>
    <s v="SINVOLUNTAD DE PAGO/ SIN CAPACIDAD DE PAGO"/>
    <s v="SIN NEGOCIACIÓN"/>
  </r>
  <r>
    <x v="2"/>
    <s v="NIÑO DE GUZMAN/HUAMANI,ALEXANDER"/>
    <s v="HINOSTROZA/ILDEFONSO, DIEGO ANDREE"/>
    <s v="LORENA PRADA GONZALES"/>
    <s v="ACON ROJAS, ELIZABETH MERCEDES"/>
    <s v="107038101002204727"/>
    <n v="100000"/>
    <s v="SOLES"/>
    <d v="2023-05-31T00:00:00"/>
    <s v="3800020093"/>
    <s v="RECUPERABLE"/>
    <s v="110,323.76"/>
    <s v="LIMA"/>
    <s v="7°JUZGADO CIVIL-COMERCIAL DE LIMA"/>
    <x v="0"/>
    <d v="2023-05-23T00:00:00"/>
    <s v="10349-2023-50-1817-JR-CO-07"/>
    <s v="462375-2023"/>
    <x v="1"/>
    <s v="Obligación de dar suma de dinero"/>
    <d v="2023-07-15T00:00:00"/>
    <s v="10349-2023-0-1817-JR-CO-07"/>
    <s v="ADMISION"/>
    <s v="MZ. K LOTE 5 CENTRO POBLADO CHANA, DISTRITO DE SAN PEDRO DE CHANA, PROVINCIA HUARI Y DEPARTAMENTO DE ANCASH, que se encuentra especificado en Certificado Literal con número de partida P37041159"/>
    <s v="22/05/2026 ESCRITO: CUMPLO CON ADJUNTAR ARANCEL DE HABILITACION DE NOTIFICACION"/>
    <s v="TOTALIDAD DEL INMUEBLE"/>
    <d v="2026-06-23T00:00:00"/>
    <s v="SI"/>
    <s v="SE NOTIFICA A CLIENTE EN SU VIVIENDA 2 PISOS COLOR CELESTE Y BLANCO"/>
    <s v="MEDIO"/>
    <s v="SINVOLUNTAD DE PAGO/ SIN CAPACIDAD DE PAGO"/>
    <s v="SIN NEGOCIACIÓN"/>
  </r>
  <r>
    <x v="2"/>
    <s v="NIÑO DE GUZMAN/HUAMANI,ALEXANDER"/>
    <s v="HINOSTROZA/ILDEFONSO, DIEGO ANDREE"/>
    <s v="LORENA PRADA GONZALES"/>
    <s v="ALVAREZ ALZAMORA, KLEID RODERICK"/>
    <s v="107038101003053510"/>
    <n v="30000"/>
    <s v="SOLES"/>
    <d v="2025-09-16T00:00:00"/>
    <s v="38000027922"/>
    <s v="IRRECUPERABLE"/>
    <s v="35,587.21"/>
    <s v="LIMA"/>
    <s v="2 JUZGADO DE PAZ LETRADO LINCE SAN ISIDRO"/>
    <x v="1"/>
    <m/>
    <m/>
    <m/>
    <x v="2"/>
    <s v="Obligación de dar suma de dinero"/>
    <d v="2025-09-04T00:00:00"/>
    <s v="01419-2025-0-1820-JP-CI-02"/>
    <s v="SENTENCIA O AUTO FINAL"/>
    <s v="NINGUNO"/>
    <s v="24/06/2026 RES 04: CONSENTIDO AUTO FINAL "/>
    <s v="NINGUNO"/>
    <d v="2026-06-22T00:00:00"/>
    <s v="SI"/>
    <s v="SE ENTREGA REQUERIMIENTO EN DOMICILIO"/>
    <s v="BAJO"/>
    <s v="SINVOLUNTAD DE PAGO/ SIN CAPACIDAD DE PAGO"/>
    <s v="SIN NEGOCIACIÓN"/>
  </r>
  <r>
    <x v="2"/>
    <s v="NIÑO DE GUZMAN/HUAMANI,ALEXANDER"/>
    <s v="HINOSTROZA/ILDEFONSO, DIEGO ANDREE"/>
    <s v="LORENA PRADA GONZALES"/>
    <s v="ANDRES EGUSQUIZA, ELSA LIZBETH"/>
    <s v="107038101002161149"/>
    <n v="8826.9699999999993"/>
    <s v="SOLES"/>
    <d v="2023-08-31T00:00:00"/>
    <s v="38000019686"/>
    <s v="IRRECUPERABLE"/>
    <s v="11298.44"/>
    <s v="LIMA"/>
    <s v="3° JUZGADO DE PAZ LETRADO BARRANCO Y MIRAFLORES"/>
    <x v="1"/>
    <m/>
    <m/>
    <m/>
    <x v="2"/>
    <s v="Obligación de dar suma de dinero"/>
    <d v="2023-08-31T00:00:00"/>
    <s v="04112-2023-0-1809-JP-CI-05"/>
    <s v="SENTENCIA O AUTO FINAL"/>
    <s v="NINGUNO"/>
    <s v="19/03/2025RES 8: APERSONADO"/>
    <s v="NINGUNO"/>
    <d v="2026-06-23T00:00:00"/>
    <s v="SI"/>
    <s v="SE NOTIFICA A CLIENTE EN SU VIVIENDA CASA 2 PISOS COLOR BLANCO TALLER"/>
    <s v="MEDIO"/>
    <s v="SINVOLUNTAD DE PAGO/ SIN CAPACIDAD DE PAGO"/>
    <s v="SIN NEGOCIACIÓN"/>
  </r>
  <r>
    <x v="2"/>
    <s v="NIÑO DE GUZMAN/HUAMANI,ALEXANDER"/>
    <s v="HINOSTROZA/ILDEFONSO, DIEGO ANDREE"/>
    <s v="LORENA PRADA GONZALES"/>
    <s v="ANTON SANCHEZ, ALBERTO"/>
    <s v="107038101001249321"/>
    <n v="234393.46"/>
    <s v="SOLES"/>
    <d v="2019-10-01T00:00:00"/>
    <s v="TESTIMONIO"/>
    <s v="RECUPERABLE"/>
    <s v="234393.46"/>
    <s v="LIMA"/>
    <s v="1°JUZGADO CIVIL-COMERCIAL DE LIMA"/>
    <x v="1"/>
    <m/>
    <m/>
    <m/>
    <x v="2"/>
    <s v="Ejecución de garantía"/>
    <d v="2019-09-20T00:00:00"/>
    <s v="14084-2019-0-1817-JR-CO-01"/>
    <s v="EJECUCION / DESIGNACION DE PERITOS"/>
    <s v="EDIFICIO 1: DEPARTAMENTO 403 – CUARTO PISO. JIRÓN CATALINO MIRANDA N°453, URBANIZACIÓN DEL FUNDO TEJADA, DISTRITO DE SANTIAGO DE SURCO, PROVINCIA Y DEPARTAMENTO DE LIMA E INSCRITO EN LA PARTIDA ELECTRÓNICA N° 14019321"/>
    <s v="10/02/2026 ESCRITO: ABSUELVO TRASLADO DE NULIDAD"/>
    <s v="TOTALIDAD DEL INMUEBLE"/>
    <d v="2026-06-24T00:00:00"/>
    <s v="SI"/>
    <s v="SE ENTREGA REQUERIMIENTO EN DOMICILIO"/>
    <s v="ALTO"/>
    <s v="SINVOLUNTAD DE PAGO/ SIN CAPACIDAD DE PAGO"/>
    <s v="SIN NEGOCIACIÓN"/>
  </r>
  <r>
    <x v="2"/>
    <s v="NIÑO DE GUZMAN/HUAMANI,ALEXANDER"/>
    <s v="HINOSTROZA/ILDEFONSO, DIEGO ANDREE"/>
    <s v="LORENA PRADA GONZALES"/>
    <s v="ART STUCCO S.A.C."/>
    <s v="107038101002139328"/>
    <n v="0"/>
    <s v="SOLES"/>
    <d v="2023-05-31T00:00:00"/>
    <s v="38000019490"/>
    <s v="RECUPERABLE"/>
    <s v="60862.35"/>
    <s v="LIMA"/>
    <s v="11° JUZGADO CIVIL-COMERCIAL"/>
    <x v="0"/>
    <d v="2023-05-23T00:00:00"/>
    <s v="10350-2023-27-1817-JR-CO-11"/>
    <s v="480072-2023"/>
    <x v="1"/>
    <s v="Obligación de dar suma de dinero"/>
    <d v="2023-08-11T00:00:00"/>
    <s v="10350-2023-0-1817-JR-CO-11"/>
    <s v="ADMISION"/>
    <s v="PUEBLO JOVEN VILLA EL SALVADOR MZ K LOTE 22 SECTOR SEGUNDO, GRUPO RESIDENCIAL 21, DISTRITO DE VILLA EL SALVADOR, LIMA que se encuentra especificado en Certificado Literal con número de partida P03005545"/>
    <s v="10/06/2025RES 06: SOBRECARTESE A LAS PARTES"/>
    <s v="ACCIONES Y DERECHOS"/>
    <d v="2026-06-23T00:00:00"/>
    <s v="SI"/>
    <s v="SE NOTIFICA A CLIENTE EL RECORDATORIO DE SU PAGO PUNTUAL DE SU CONVENIO."/>
    <s v="MEDIO"/>
    <s v="CON VOLUNTAD DE PAGO/ CON CAPACIDAD"/>
    <s v="CON NEGOCIACIÓN"/>
  </r>
  <r>
    <x v="2"/>
    <s v="NIÑO DE GUZMAN/HUAMANI,ALEXANDER"/>
    <s v="HINOSTROZA/ILDEFONSO, DIEGO ANDREE"/>
    <s v="LORENA PRADA GONZALES"/>
    <s v="ARTEAGA PALOMINO, YURINA"/>
    <s v="107038101003098761"/>
    <n v="70513.09"/>
    <s v="SOLES"/>
    <d v="2025-09-09T00:00:00"/>
    <s v="38000028339"/>
    <s v="IRRECUPERABLE"/>
    <s v="79,094.22"/>
    <s v="LIMA"/>
    <s v="16°JUZGADO CIVIL-COMERCIAL DE LIMA"/>
    <x v="1"/>
    <m/>
    <m/>
    <m/>
    <x v="2"/>
    <s v="Obligación de dar suma de dinero"/>
    <d v="2025-09-04T00:00:00"/>
    <s v="20178-2025-0-1828-JR-CO-16"/>
    <s v="ADMISION"/>
    <s v="NINGUNO"/>
    <s v="16/03/2026 ESCRITO: SOLICITO AUTO FINAL"/>
    <s v="NINGUNO"/>
    <d v="2026-06-22T00:00:00"/>
    <s v="SI"/>
    <s v="SE ENTREGA REQUERIMIENTO EN DOMICILIO"/>
    <s v="BAJO"/>
    <s v="SINVOLUNTAD DE PAGO/ SIN CAPACIDAD DE PAGO"/>
    <s v="SIN NEGOCIACIÓN"/>
  </r>
  <r>
    <x v="2"/>
    <s v="NIÑO DE GUZMAN/HUAMANI,ALEXANDER"/>
    <s v="HINOSTROZA/ILDEFONSO, DIEGO ANDREE"/>
    <s v="LORENA PRADA GONZALES"/>
    <s v="AZAÑERO URQUIA, SEGUNDO EMILIANO"/>
    <s v="107038101002176559"/>
    <n v="12000"/>
    <s v="SOLES"/>
    <d v="2023-10-21T00:00:00"/>
    <s v="38000019832"/>
    <s v="IRRECUPERABLE"/>
    <s v="17791.29"/>
    <s v="LIMA"/>
    <s v="2 JUZGADO DE PAZ LETRADO BARRANCO - MIRAFLORES"/>
    <x v="1"/>
    <m/>
    <m/>
    <m/>
    <x v="2"/>
    <s v="Obligación de dar suma de dinero"/>
    <d v="2023-10-12T00:00:00"/>
    <s v="05011-2023-0-1809-JP-CI-02"/>
    <s v="SENTENCIA O AUTO FINAL"/>
    <s v="NINGUNO"/>
    <s v="10/06/2026 RES 09: AUTO FINAL"/>
    <s v="NINGUNO"/>
    <d v="2026-06-23T00:00:00"/>
    <s v="SI"/>
    <s v="SE NOTIFICA A CLIENTE EN SU VIVIENDA 2 PISOS"/>
    <s v="MEDIO"/>
    <s v="SINVOLUNTAD DE PAGO/ SIN CAPACIDAD DE PAGO"/>
    <s v="SIN NEGOCIACIÓN"/>
  </r>
  <r>
    <x v="2"/>
    <s v="NIÑO DE GUZMAN/HUAMANI,ALEXANDER"/>
    <s v="HINOSTROZA/ILDEFONSO, DIEGO ANDREE"/>
    <s v="LORENA PRADA GONZALES"/>
    <s v="BOCANEGRA MURRIETA, DORIS CONSUELO"/>
    <s v="107038101002997988"/>
    <n v="18636.93"/>
    <s v="SOLES"/>
    <d v="2024-08-16T00:00:00"/>
    <s v="38000027410"/>
    <s v="RECUPERABLE"/>
    <s v="30,850.08"/>
    <s v="LIMA"/>
    <s v="3° JUZGADO DE PAZ LETRADO BARRANCO Y MIRAFLORES"/>
    <x v="0"/>
    <d v="2024-08-16T00:00:00"/>
    <s v="03803-2024-2-1866-JP-CI-03"/>
    <n v="280494"/>
    <x v="1"/>
    <s v="Obligación de dar suma de dinero"/>
    <d v="2026-04-15T00:00:00"/>
    <s v="03803-2024-0-1809-JP-CI-03"/>
    <s v="ADMISION"/>
    <s v="INMUEBLE UBICADO EN CENTRO POBLADO SAN NICOLAS MZ. 27 SUB. LOTE 3-A DISTRI. SAN DPTO DE AMAZONAS"/>
    <s v="22/04/2026 RES. 01ADMITE LA DEMANDA"/>
    <s v="TOTALIDAD DEL INMUEBLE"/>
    <d v="2026-06-22T00:00:00"/>
    <s v="SI"/>
    <s v="SE NOTIFICA A CLIENTE EN SU VIVIENDA COLOR ROJO 2 PISOS"/>
    <s v="BAJO"/>
    <s v="CON VOLUNTAD DE PAGO/ CON CAPACIDAD"/>
    <s v="CON NEGOCIACIÓN"/>
  </r>
  <r>
    <x v="2"/>
    <s v="NIÑO DE GUZMAN/HUAMANI,ALEXANDER"/>
    <s v="HINOSTROZA/ILDEFONSO, DIEGO ANDREE"/>
    <s v="LORENA PRADA GONZALES"/>
    <s v="CAMIZAN MARTINEZ, CARMEN ROSA"/>
    <s v="107038101002179554"/>
    <n v="36650.120000000003"/>
    <s v="SOLES"/>
    <d v="2023-10-21T00:00:00"/>
    <s v="38000019861"/>
    <s v="IRRECUPERABLE"/>
    <s v="52031.8"/>
    <s v="LIMA"/>
    <s v="15°JUZGADO CIVIL-COMERCIAL DE LIMA"/>
    <x v="1"/>
    <m/>
    <m/>
    <m/>
    <x v="2"/>
    <s v="Obligación de dar suma de dinero"/>
    <d v="2023-10-12T00:00:00"/>
    <s v="22404-2023-0-1817-JR-CO-15"/>
    <s v="SENTENCIA O AUTO FINAL"/>
    <s v="NINGUNO"/>
    <s v="03/07/2026 RES 05: CONSENTIDO EL AUTO FINAL  Y REQUIERA EL PAGO TOTAL"/>
    <s v="NINGUNO"/>
    <d v="2026-06-23T00:00:00"/>
    <s v="SI"/>
    <s v="SE NOTIFICA A CLIENTE EN SU VIVIENDA 1 PISOS COLOR CREMA"/>
    <s v="MEDIO"/>
    <s v="SINVOLUNTAD DE PAGO/ SIN CAPACIDAD DE PAGO"/>
    <s v="SIN NEGOCIACIÓN"/>
  </r>
  <r>
    <x v="2"/>
    <s v="NIÑO DE GUZMAN/HUAMANI,ALEXANDER"/>
    <s v="HINOSTROZA/ILDEFONSO, DIEGO ANDREE"/>
    <s v="LORENA PRADA GONZALES"/>
    <s v="CANDELA CALDERON, MIGUEL ALEJANDRO"/>
    <s v="107038101002140722"/>
    <n v="25438.36"/>
    <s v="SOLES"/>
    <d v="2023-10-21T00:00:00"/>
    <s v="38000019503"/>
    <s v="IRRECUPERABLE"/>
    <s v="35348.25"/>
    <s v="LIMA"/>
    <s v="3° JUZGADO DE PAZ LETRADO BARRANCO Y MIRAFLORES"/>
    <x v="1"/>
    <m/>
    <m/>
    <m/>
    <x v="2"/>
    <s v="Obligación de dar suma de dinero"/>
    <d v="2023-10-12T00:00:00"/>
    <s v="05010-2023-0-1809-JP-CI-03"/>
    <s v="SENTENCIA O AUTO FINAL"/>
    <s v="NINGUNO"/>
    <s v="15/03/2025RES 6: APERSONADO"/>
    <s v="NINGUNO"/>
    <d v="2026-06-23T00:00:00"/>
    <s v="SI"/>
    <s v="SE NOTIFICA A CLIENTE EN SU VIVIENDA 1 PISOS COLOR VERDE"/>
    <s v="MEDIO"/>
    <s v="SINVOLUNTAD DE PAGO/ SIN CAPACIDAD DE PAGO"/>
    <s v="SIN NEGOCIACIÓN"/>
  </r>
  <r>
    <x v="2"/>
    <s v="NIÑO DE GUZMAN/HUAMANI,ALEXANDER"/>
    <s v="HINOSTROZA/ILDEFONSO, DIEGO ANDREE"/>
    <s v="LORENA PRADA GONZALES"/>
    <s v="CARRASCO VEGA, LUIS ENRIQUE"/>
    <s v="107038101001307784"/>
    <n v="111339.39"/>
    <s v="SOLES"/>
    <d v="2023-09-14T00:00:00"/>
    <s v="TESTIMONIO"/>
    <s v="RECUPERABLE"/>
    <s v="216060.1"/>
    <s v="LIMA"/>
    <s v="4°JUZGADO CIVIL-COMERCIAL DE LIMA"/>
    <x v="1"/>
    <m/>
    <m/>
    <m/>
    <x v="2"/>
    <s v="Ejecución de garantía"/>
    <d v="2023-07-17T00:00:00"/>
    <s v="14687-2023-0-1817-JR-CO-04"/>
    <s v="ADMISION"/>
    <s v="Urbanización Del Fundo Tejada, Distrito de Santiago de Surco, Provincia y"/>
    <s v="25/07/2025RES 10: CONFORME CON EL CONVENIO DE PAGO"/>
    <s v="TOTALIDAD DEL INMUEBLE"/>
    <d v="2026-06-24T00:00:00"/>
    <s v="SI"/>
    <s v="SE NOTIFICA A CLIENTE EL RECORDATORIO DE SU PAGO PUNTUAL DE SU CONVENIO."/>
    <s v="ALTO"/>
    <s v="CON VOLUNTAD DE PAGO/ CON CAPACIDAD"/>
    <s v="CON NEGOCIACIÓN"/>
  </r>
  <r>
    <x v="2"/>
    <s v="NIÑO DE GUZMAN/HUAMANI,ALEXANDER"/>
    <s v="HINOSTROZA/ILDEFONSO, DIEGO ANDREE"/>
    <s v="LORENA PRADA GONZALES"/>
    <s v="CASTAÑEDA RAMOS, HERRI HERMANN"/>
    <s v="107038101002117980"/>
    <n v="20867.05"/>
    <s v="SOLES"/>
    <d v="2023-07-26T00:00:00"/>
    <s v="38000019285"/>
    <s v="IRRECUPERABLE"/>
    <s v="33174.08"/>
    <s v="LIMA"/>
    <s v="2 JUZGADO DE PAZ LETRADO BARRANCO - MIRAFLORES"/>
    <x v="1"/>
    <m/>
    <m/>
    <m/>
    <x v="2"/>
    <s v="Obligación de dar suma de dinero"/>
    <d v="2023-07-24T00:00:00"/>
    <s v="03105-2023-0-1809-JP-CI-01"/>
    <s v="SENTENCIA O AUTO FINAL"/>
    <s v="NINGUNO"/>
    <s v="14/05/2025RES 06: CONCEDIDO APERSONAMIENTO"/>
    <s v="NINGUNO"/>
    <d v="2026-06-24T00:00:00"/>
    <s v="SI"/>
    <s v="SE NOTIFICA A CLIENTE EN SU VIVIENDA 1 PISO"/>
    <s v="MEDIO"/>
    <s v="SINVOLUNTAD DE PAGO/ SIN CAPACIDAD DE PAGO"/>
    <s v="SIN NEGOCIACIÓN"/>
  </r>
  <r>
    <x v="2"/>
    <s v="NIÑO DE GUZMAN/HUAMANI,ALEXANDER"/>
    <s v="HINOSTROZA/ILDEFONSO, DIEGO ANDREE"/>
    <s v="LORENA PRADA GONZALES"/>
    <s v="CASTILLO HUAMAN VDA DE FLORES, OLGA JUVENCIA"/>
    <s v="107038101002881811"/>
    <n v="11756.38"/>
    <s v="SOLES"/>
    <d v="2024-10-16T00:00:00"/>
    <s v="38000026331"/>
    <s v="RECUPERABLE"/>
    <s v="27,959.59"/>
    <s v="LIMA SUR"/>
    <s v="3° JUZGADO DE PAZ LETRADO BARRANCO Y MIRAFLORES"/>
    <x v="1"/>
    <m/>
    <m/>
    <m/>
    <x v="2"/>
    <s v="Obligación de dar suma de dinero"/>
    <d v="2024-10-15T00:00:00"/>
    <s v="04861-2024-0-1866-JP-CI-03"/>
    <s v="SENTENCIA O AUTO FINAL"/>
    <s v="NINGUNO"/>
    <s v="22/01/2026 RES 05: CONSENTIDA AUTO FINAL"/>
    <s v="NINGUNO"/>
    <d v="2026-06-22T00:00:00"/>
    <s v="SI"/>
    <s v="SE NOTIFICA A CLIENTE EL RECORDATORIO DE SU PAGO PUNTUAL DE SU CONVENIO."/>
    <s v="BAJO"/>
    <s v="CON VOLUNTAD DE PAGO/ CON CAPACIDAD"/>
    <s v="CON NEGOCIACIÓN"/>
  </r>
  <r>
    <x v="2"/>
    <s v="NIÑO DE GUZMAN/HUAMANI,ALEXANDER"/>
    <s v="HINOSTROZA/ILDEFONSO, DIEGO ANDREE"/>
    <s v="LORENA PRADA GONZALES"/>
    <s v="CASTRO DE ACOSTA, MANUEL EMILIO"/>
    <s v="107038101002178284"/>
    <n v="60629.15"/>
    <s v="SOLES"/>
    <d v="2023-10-21T00:00:00"/>
    <s v="38000019851"/>
    <s v="IRRECUPERABLE"/>
    <s v="79972.95"/>
    <s v="LIMA"/>
    <s v="7°JUZGADO CIVIL-COMERCIAL DE LIMA"/>
    <x v="1"/>
    <m/>
    <m/>
    <m/>
    <x v="2"/>
    <s v="Obligación de dar suma de dinero"/>
    <d v="2023-10-12T00:00:00"/>
    <s v="22402-2023-0-1817-JR-CO-07"/>
    <s v="SENTENCIA O AUTO FINAL"/>
    <s v="NINGUNO"/>
    <s v="20/06/2025RES 06: CONCEDIDO APERSONAMIENTO"/>
    <s v="NINGUNO"/>
    <d v="2026-06-23T00:00:00"/>
    <s v="SI"/>
    <s v="SE NOTIFICA A CLIENTE EN SU VIVIENDA 1 PISO BLANCO"/>
    <s v="MEDIO"/>
    <s v="SINVOLUNTAD DE PAGO/ SIN CAPACIDAD DE PAGO"/>
    <s v="SIN NEGOCIACIÓN"/>
  </r>
  <r>
    <x v="2"/>
    <s v="NIÑO DE GUZMAN/HUAMANI,ALEXANDER"/>
    <s v="HINOSTROZA/ILDEFONSO, DIEGO ANDREE"/>
    <s v="LORENA PRADA GONZALES"/>
    <s v="CHAVARRIA QUEZADA, DANIEL OSCAR"/>
    <s v="107038101002471034"/>
    <n v="0"/>
    <s v="SOLES"/>
    <d v="2023-11-30T00:00:00"/>
    <s v="38000022561"/>
    <s v="RECUPERABLE"/>
    <s v="15586.48"/>
    <s v="LIMA"/>
    <s v="3° JUZGADO DE PAZ LETRADO BARRANCO Y MIRAFLORES"/>
    <x v="0"/>
    <d v="2023-11-29T00:00:00"/>
    <s v="05757-2023-31-1809-JP-CI-03"/>
    <n v="135422"/>
    <x v="1"/>
    <s v="Obligación de dar suma de dinero"/>
    <d v="2024-05-08T00:00:00"/>
    <s v="05757-2023-0-1809-JP-CI-03"/>
    <s v="ADMISION"/>
    <s v="PUEBLO JOVEN PAMPLONA ALTA MZ 16 LOTE 17 DISTRITO DE SAN JUAN DE MIRAFLORES, que se encuentra especificado en Certificado Literal con número de partida P03052130 (TÍTULO N° 2024-01181457)"/>
    <s v="06/02/2025EXPEDIENTE REMITIDO A JUZGADOS COMERCIALES POR APELACION DEL DEMANDADO, NOS APERSONAMOS AL PROCESO CON FECHA 06/02/2025"/>
    <s v="ACCIONES Y DERECHOS"/>
    <d v="2026-06-22T00:00:00"/>
    <s v="SI"/>
    <s v="SE NOTIFICA A CLIENTE EL RECORDATORIO DE SU PAGO PUNTUAL DE SU CONVENIO."/>
    <s v="MEDIO"/>
    <s v="CON VOLUNTAD DE PAGO/ CON CAPACIDAD"/>
    <s v="CON NEGOCIACIÓN"/>
  </r>
  <r>
    <x v="2"/>
    <s v="NIÑO DE GUZMAN/HUAMANI,ALEXANDER"/>
    <s v="HINOSTROZA/ILDEFONSO, DIEGO ANDREE"/>
    <s v="LORENA PRADA GONZALES"/>
    <s v="CLV CONTRATISTAS S.A.C"/>
    <s v="107038101003337224"/>
    <n v="300000"/>
    <s v="SOLES"/>
    <d v="2025-12-29T00:00:00"/>
    <s v="38000030491"/>
    <s v="RECUPERABLE"/>
    <s v="356,577.45"/>
    <s v="LIMA"/>
    <s v="3° JUZGADO CIVIL-COMERCIAL"/>
    <x v="0"/>
    <d v="2025-12-29T00:00:00"/>
    <s v="30930-2025-96-1828-JR-CO-03"/>
    <n v="382853"/>
    <x v="1"/>
    <s v="Obligación de dar suma de dinero"/>
    <d v="2026-04-30T00:00:00"/>
    <s v="30930-2025-0-1817-JR-CO-03"/>
    <s v="EN CALIFICACION"/>
    <s v="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
    <s v="30/04/2026 ESCRITO: FORMALIZACION"/>
    <s v="TOTALIDAD DEL INMUEBLE"/>
    <d v="2026-06-15T00:00:00"/>
    <s v="SI"/>
    <s v="SE ENTREGA REQUERIMIENTO EN DOMICILIO"/>
    <s v="MEDIO"/>
    <s v="SINVOLUNTAD DE PAGO/ SIN CAPACIDAD DE PAGO"/>
    <s v="SIN NEGOCIACIÓN"/>
  </r>
  <r>
    <x v="2"/>
    <s v="NIÑO DE GUZMAN/HUAMANI,ALEXANDER"/>
    <s v="HINOSTROZA/ILDEFONSO, DIEGO ANDREE"/>
    <s v="LORENA PRADA GONZALES"/>
    <s v="COLOMA TORRES, MARY LUZ"/>
    <s v="107038101002130216"/>
    <n v="27344.7"/>
    <s v="SOLES"/>
    <d v="2024-07-10T00:00:00"/>
    <s v="38000019399"/>
    <s v="RECUPERABLE"/>
    <s v="49, 375.12"/>
    <s v="LIMA"/>
    <s v="3° JUZGADO DE PAZ LETRADO BARRANCO Y MIRAFLORES"/>
    <x v="1"/>
    <m/>
    <m/>
    <m/>
    <x v="2"/>
    <s v="Obligación de dar suma de dinero"/>
    <d v="2024-07-17T00:00:00"/>
    <s v="00182-2024-0-1866-JP-CO-03"/>
    <s v="SENTENCIA O AUTO FINAL"/>
    <s v="NINGUNO"/>
    <s v="01/12/2025RES 05: CONSENTIDO AUTO FINAL"/>
    <s v="NINGUNO"/>
    <d v="2026-06-24T00:00:00"/>
    <s v="SI"/>
    <s v="SE NOTIFICA A CLIENTE EN SU VIVIENDA NARANJA PORTON NEGRO"/>
    <s v="MEDIO"/>
    <s v="CON VOLUNTAD DE PAGO/ CON CAPACIDAD"/>
    <s v="SIN NEGOCIACIÓN"/>
  </r>
  <r>
    <x v="2"/>
    <s v="NIÑO DE GUZMAN/HUAMANI,ALEXANDER"/>
    <s v="HINOSTROZA/ILDEFONSO, DIEGO ANDREE"/>
    <s v="LORENA PRADA GONZALES"/>
    <s v="CONDORI LINARES, BEATRIZ"/>
    <s v="107038101002146293"/>
    <n v="8871.77"/>
    <s v="SOLES"/>
    <d v="2023-10-21T00:00:00"/>
    <s v="38000019552"/>
    <s v="IRRECUPERABLE"/>
    <s v="11371.04"/>
    <s v="LIMA"/>
    <s v="4° JUZGADO DE PAZ LETRADO (SEDE BARRANCO - MIRAFLORES)"/>
    <x v="1"/>
    <m/>
    <m/>
    <m/>
    <x v="2"/>
    <s v="Obligación de dar suma de dinero"/>
    <d v="2023-10-12T00:00:00"/>
    <s v="05015-2023-0-1809-JP-CI-04"/>
    <s v="SENTENCIA O AUTO FINAL"/>
    <s v="NINGUNO"/>
    <s v="05/12/2025 RES 4 AUTO FINAL"/>
    <s v="NINGUNO"/>
    <d v="2026-06-23T00:00:00"/>
    <s v="SI"/>
    <s v="SE NOTIFICA A CLIENTE EN SU VIVIENDA 4 PISOS COLOR PLOMO SE DEJA BAJO PUERTA"/>
    <s v="MEDIO"/>
    <s v="SINVOLUNTAD DE PAGO/ SIN CAPACIDAD DE PAGO"/>
    <s v="SIN NEGOCIACIÓN"/>
  </r>
  <r>
    <x v="2"/>
    <s v="NIÑO DE GUZMAN/HUAMANI,ALEXANDER"/>
    <s v="HINOSTROZA/ILDEFONSO, DIEGO ANDREE"/>
    <s v="LORENA PRADA GONZALES"/>
    <s v="CORPORACION AGUINAGA SOCIEDAD ANONIMA CERRADA"/>
    <s v="107038101002219824"/>
    <n v="95887.54"/>
    <s v="SOLES"/>
    <d v="2023-05-31T00:00:00"/>
    <s v="38000020231"/>
    <s v="IRRECUPERABLE"/>
    <s v="162994.96"/>
    <s v="LIMA"/>
    <s v="12° JUZGADO CIVIL - COMERCIAL DE LIMA"/>
    <x v="1"/>
    <m/>
    <m/>
    <m/>
    <x v="2"/>
    <s v="Obligación de dar suma de dinero"/>
    <d v="2023-05-23T00:00:00"/>
    <s v="10385-2023-0-1817-JR-CO-12"/>
    <s v="SENTENCIA O AUTO FINAL"/>
    <s v="NINGUNO"/>
    <s v="29/04/2025RES 07: ADMITIDO APERSONAMIENTO"/>
    <s v="NINGUNO"/>
    <d v="2026-06-22T00:00:00"/>
    <s v="SI"/>
    <s v="SE ENTREGA REQUERIMIENTO EN DOMICILIO"/>
    <s v="MEDIO"/>
    <s v="SINVOLUNTAD DE PAGO/ SIN CAPACIDAD DE PAGO"/>
    <s v="SIN NEGOCIACIÓN"/>
  </r>
  <r>
    <x v="2"/>
    <s v="NIÑO DE GUZMAN/HUAMANI,ALEXANDER"/>
    <s v="HINOSTROZA/ILDEFONSO, DIEGO ANDREE"/>
    <s v="LORENA PRADA GONZALES"/>
    <s v="CORPORACION DE INVERSIONES ESTETICAS S.A.C."/>
    <s v="107038101002152949"/>
    <n v="88504.66"/>
    <s v="SOLES"/>
    <d v="2023-09-30T00:00:00"/>
    <s v="38000019609"/>
    <s v="IRRECUPERABLE"/>
    <s v="108309.15"/>
    <s v="LIMA"/>
    <s v="2°JUZGADO CIVIL-COMERCIAL"/>
    <x v="1"/>
    <m/>
    <m/>
    <m/>
    <x v="2"/>
    <s v="Obligación de dar suma de dinero"/>
    <d v="2023-09-22T00:00:00"/>
    <s v="20209-2023-0-1817-JR-CO-02"/>
    <s v="SENTENCIA O AUTO FINAL"/>
    <s v="NINGUNO"/>
    <s v="31/03/2025RES 06: ADMITEN EL APERSONAMIENTO"/>
    <s v="NINGUNO"/>
    <d v="2026-06-23T00:00:00"/>
    <s v="SI"/>
    <s v="SE NOTIFICA A CLIENTE EN SU VIVIENDA CASA 3 PISOS COLOR CREMA"/>
    <s v="MEDIO"/>
    <s v="SINVOLUNTAD DE PAGO/ SIN CAPACIDAD DE PAGO"/>
    <s v="SIN NEGOCIACIÓN"/>
  </r>
  <r>
    <x v="2"/>
    <s v="NIÑO DE GUZMAN/HUAMANI,ALEXANDER"/>
    <s v="HINOSTROZA/ILDEFONSO, DIEGO ANDREE"/>
    <s v="LORENA PRADA GONZALES"/>
    <s v="CORPORACION GLOBAL FRUITS SAC"/>
    <s v="107038101002116432"/>
    <n v="41251.360000000001"/>
    <s v="SOLES"/>
    <d v="2023-05-30T00:00:00"/>
    <s v="38000019274"/>
    <s v="IRRECUPERABLE"/>
    <s v="71120.62"/>
    <s v="LIMA"/>
    <s v="1°JUZGADO CIVIL-COMERCIAL DE LIMA"/>
    <x v="1"/>
    <m/>
    <m/>
    <m/>
    <x v="2"/>
    <s v="Obligación de dar suma de dinero"/>
    <d v="2023-05-22T00:00:00"/>
    <s v="10335-2023-0-1817-JR-CO-01"/>
    <s v="SENTENCIA O AUTO FINAL"/>
    <s v="NINGUNO"/>
    <s v="21/06/2026 RES 06: SE NOS NOTIFICA CON ATENDIDO NUESTRO APERSONAMIENTO"/>
    <s v="NINGUNO"/>
    <d v="2026-06-24T00:00:00"/>
    <s v="SI"/>
    <s v="SE ENTREGA REQUERIMIENTO EN DOMICILIO"/>
    <s v="MEDIO"/>
    <s v="SINVOLUNTAD DE PAGO/ SIN CAPACIDAD DE PAGO"/>
    <s v="SIN NEGOCIACIÓN"/>
  </r>
  <r>
    <x v="2"/>
    <s v="NIÑO DE GUZMAN/HUAMANI,ALEXANDER"/>
    <s v="HINOSTROZA/ILDEFONSO, DIEGO ANDREE"/>
    <s v="LORENA PRADA GONZALES"/>
    <s v="CUBAS PEREZ, JOSE WILLAN"/>
    <s v="107038101002847613"/>
    <n v="23457.200000000001"/>
    <s v="SOLES"/>
    <d v="2023-11-30T00:00:00"/>
    <s v="38000026026"/>
    <s v="RECUPERABLE"/>
    <s v="25570.37"/>
    <s v="LIMA"/>
    <s v="3° JUZGADO DE PAZ LETRADO BARRANCO Y MIRAFLORES"/>
    <x v="0"/>
    <d v="2023-11-29T00:00:00"/>
    <s v="05755-2023-82-1809-JP-CI-03"/>
    <m/>
    <x v="1"/>
    <s v="Obligación de dar suma de dinero"/>
    <d v="2024-01-17T00:00:00"/>
    <s v="05755-2023-0-1809-JP-CI-03"/>
    <s v="SENTENCIA O AUTO FINAL"/>
    <s v="INSCRIPCIÓN DE SECCIÓN ESPECIAL DE PREDIOS RURALES QUEROCOTO, DEPARTAMENTO DE CAJAMARCA, PREDIO LA GRANJA PARCELA 2425 HA 3,550 que se encuentra especificado en Certificado Literal con número de partida 11027711 OFICINA REGISTRAL CHOTA SEDE CHICLAYO TITULO 2024-00038397"/>
    <s v="04/06/2026 ESCRITO: SE INFORMO PAGA A PERITOS "/>
    <s v="TOTALIDAD DEL INMUEBLE"/>
    <d v="2026-06-22T00:00:00"/>
    <s v="SI"/>
    <s v="SE NOTIFICA A CLIENTE EN SU VIVIENDA DE DOS PISOS COLOR NARANJA PUERTA DE MADERA."/>
    <s v="MEDIO"/>
    <s v="SINVOLUNTAD DE PAGO/ SIN CAPACIDAD DE PAGO"/>
    <s v="SIN NEGOCIACIÓN"/>
  </r>
  <r>
    <x v="2"/>
    <s v="NIÑO DE GUZMAN/HUAMANI,ALEXANDER"/>
    <s v="HINOSTROZA/ILDEFONSO, DIEGO ANDREE"/>
    <s v="LORENA PRADA GONZALES"/>
    <s v="D COSTA RESTOBAR SOCIEDAD ANONIMA CERRADA D' COSTA RESTOBAR S.A.C."/>
    <s v="107038101002182669"/>
    <n v="99900"/>
    <s v="SOLES"/>
    <d v="2023-09-30T00:00:00"/>
    <s v="38000019891"/>
    <s v="IRRECUPERABLE"/>
    <s v="12942.25"/>
    <s v="LIMA"/>
    <s v="16°JUZGADO CIVIL-COMERCIAL DE LIMA"/>
    <x v="1"/>
    <m/>
    <m/>
    <m/>
    <x v="2"/>
    <s v="Obligación de dar suma de dinero"/>
    <d v="2023-09-22T00:00:00"/>
    <s v="20211-2023-0-1817-JR-CO-16"/>
    <s v="SENTENCIA O AUTO FINAL"/>
    <s v="NINGUNO"/>
    <s v="14/08/2025RES 05: APERSONADOS"/>
    <s v="NINGUNO"/>
    <d v="2026-06-23T00:00:00"/>
    <s v="SI"/>
    <s v="SE NOTIFICA A CLIENTE EN SU VIVIENDA 2 PISOS COLOR VERDE LIMON"/>
    <s v="MEDIO"/>
    <s v="SINVOLUNTAD DE PAGO/ SIN CAPACIDAD DE PAGO"/>
    <s v="SIN NEGOCIACIÓN"/>
  </r>
  <r>
    <x v="2"/>
    <s v="NIÑO DE GUZMAN/HUAMANI,ALEXANDER"/>
    <s v="HINOSTROZA/ILDEFONSO, DIEGO ANDREE"/>
    <s v="LORENA PRADA GONZALES"/>
    <s v="DIAZ ESPINOZA, CARLOS ALBERTO"/>
    <s v="107038101002147296"/>
    <n v="19200"/>
    <s v="SOLES"/>
    <d v="2023-05-31T00:00:00"/>
    <s v="38000019561"/>
    <s v="RECUPERABLE"/>
    <s v="27248.12"/>
    <s v="LIMA"/>
    <s v="2 JUZGADO DE PAZ LETRADO BARRANCO - MIRAFLORES"/>
    <x v="0"/>
    <d v="2025-02-27T00:00:00"/>
    <s v="02116-2023-32-1809-JP-CI-05"/>
    <n v="38470"/>
    <x v="1"/>
    <s v="Obligación de dar suma de dinero"/>
    <d v="2023-05-23T00:00:00"/>
    <s v="02116-2023-0-1809-JP-CI-05"/>
    <s v="SENTENCIA O AUTO FINAL"/>
    <s v="TOTALIDAD DEL BIEN INSCRITO EN LA PARTIDA P03306285"/>
    <s v="09/04/2025RES 05: ADMITIDO APERSONAMIENTO"/>
    <s v="TOTALIDAD DEL INMUEBLE"/>
    <d v="2026-06-23T00:00:00"/>
    <s v="SI"/>
    <s v="SE NOTIFICA A CLIENTE EN SU VIVIENDA 2 PISOS COLOR BEICHE CENTRO DE TRABAJO"/>
    <s v="MEDIO"/>
    <s v="SINVOLUNTAD DE PAGO/ SIN CAPACIDAD DE PAGO"/>
    <s v="SIN NEGOCIACIÓN"/>
  </r>
  <r>
    <x v="2"/>
    <s v="NIÑO DE GUZMAN/HUAMANI,ALEXANDER"/>
    <s v="HINOSTROZA/ILDEFONSO, DIEGO ANDREE"/>
    <s v="LORENA PRADA GONZALES"/>
    <s v="D'TALLES IMPORT SOCIEDAD ANONIMA CERRADA D'TALLES IMPORT SAC"/>
    <s v="107038101002119770"/>
    <n v="16647.25"/>
    <s v="SOLES"/>
    <d v="2024-03-30T00:00:00"/>
    <s v="38000019306"/>
    <s v="IRRECUPERABLE"/>
    <s v="20124.53"/>
    <s v="LIMA"/>
    <s v="4° JUZGADO DE PAZ LETRADO (SEDE BARRANCO - MIRAFLORES)"/>
    <x v="1"/>
    <m/>
    <m/>
    <m/>
    <x v="2"/>
    <s v="Obligación de dar suma de dinero"/>
    <d v="2024-03-27T00:00:00"/>
    <s v="01272-2024-0-1866-JP-CI-04"/>
    <s v="ADMISION"/>
    <s v="NINGUNO"/>
    <s v="15/06/2026 RES 04: TENGASE POR CUMPLIDO LO SOLICITADO"/>
    <s v="NINGUNO"/>
    <d v="2026-06-24T00:00:00"/>
    <s v="SI"/>
    <s v="SE NOTIFICA A CLIENTE EN SU VIVIENDA EDIFICIO AZUL CON VENTANAS GRANDES"/>
    <s v="MEDIO"/>
    <s v="SINVOLUNTAD DE PAGO/ SIN CAPACIDAD DE PAGO"/>
    <s v="SIN NEGOCIACIÓN"/>
  </r>
  <r>
    <x v="2"/>
    <s v="NIÑO DE GUZMAN/HUAMANI,ALEXANDER"/>
    <s v="HINOSTROZA/ILDEFONSO, DIEGO ANDREE"/>
    <s v="LORENA PRADA GONZALES"/>
    <s v="E Y G INDUSTRIAS &amp; SERVICIOS MULTIPLES E.I.R.L"/>
    <s v="107038101002222676"/>
    <n v="81027.210000000006"/>
    <s v="SOLES"/>
    <d v="2024-09-24T00:00:00"/>
    <s v="38000020258"/>
    <s v="RECUPERABLE"/>
    <s v="97,669.78"/>
    <s v="LIMA"/>
    <s v="1°JUZGADO CIVIL-COMERCIAL DE LIMA"/>
    <x v="0"/>
    <d v="2025-02-19T00:00:00"/>
    <s v="03958-2025-94-1828-JR-CO-01"/>
    <n v="331856"/>
    <x v="1"/>
    <s v="Obligación de dar suma de dinero"/>
    <d v="2025-10-20T00:00:00"/>
    <s v="03958-2025-0-1817-JR-CO-01"/>
    <s v="ADMISION"/>
    <s v="INMUEBLE LOTE 06 DE LA MANZANA B CON FRENTE A LA AV. UNIVERSITARIA URBANIZACIÓN LUCYANA, DISTRITO DE CARABAYLLO, PROVINCIA Y DEPARTAMENTO DE LIMA PARTIDA 13879747"/>
    <s v="03/07/2026 ESCRITO: ABSUELVO TRASLADO"/>
    <s v="TOTALIDAD DEL INMUEBLE"/>
    <d v="2026-06-22T00:00:00"/>
    <s v="SI"/>
    <s v="SE NOTIFICA A CLIENTE EN SU VIVIENDA CASA 2 PISOS"/>
    <s v="BAJO"/>
    <s v="SINVOLUNTAD DE PAGO/ SIN CAPACIDAD DE PAGO"/>
    <s v="SIN NEGOCIACIÓN"/>
  </r>
  <r>
    <x v="2"/>
    <s v="NIÑO DE GUZMAN/HUAMANI,ALEXANDER"/>
    <s v="HINOSTROZA/ILDEFONSO, DIEGO ANDREE"/>
    <s v="LORENA PRADA GONZALES"/>
    <s v="EDITORIAL HANS S.A.C"/>
    <s v="107038101002180423"/>
    <n v="36589.370000000003"/>
    <s v="SOLES"/>
    <d v="2025-06-24T00:00:00"/>
    <s v="38000019871"/>
    <s v="RECUPERABLE"/>
    <s v="125,061.45"/>
    <s v="LIMA"/>
    <s v="4°JUZGADO CIVIL-COMERCIAL DE LIMA"/>
    <x v="0"/>
    <d v="2025-06-24T00:00:00"/>
    <s v="13906-2025-79-1828-JR-CO-04"/>
    <n v="628195"/>
    <x v="1"/>
    <s v="Obligación de dar suma de dinero"/>
    <d v="2026-03-02T00:00:00"/>
    <s v="13906-2025-0-1817-JR-CO-04"/>
    <s v="SENTENCIA O AUTO FINAL"/>
    <s v="TOTALIDAD DEL BIEN QUE LE CORRESPONDEN AL FIADOR SUAREZ COVEÑAS, MARGOT BELINDA, DEL BIEN INMUEBLE UBICADO EN AV. DEL AIRE DEPARTAMENTO Nº202, SAN ISIDRO, LIMA, LIMA PARTIDA ELECTRÓNICA N°4139423 ( SEGUNDO RANGO)"/>
    <s v="03/07/2026 RES 03: AUTO FINAL"/>
    <s v="TOTALIDAD DEL INMUEBLE"/>
    <d v="2026-06-23T00:00:00"/>
    <s v="SI"/>
    <s v="SE NOTIFICA A CLIENTE EN SU VIVIENDA CASA 1 PISO COLOR BLANCO"/>
    <s v="ALTO"/>
    <s v="CON VOLUNTAD DE PAGO/ CON CAPACIDAD"/>
    <s v="CON NEGOCIACIÓN"/>
  </r>
  <r>
    <x v="2"/>
    <s v="NIÑO DE GUZMAN/HUAMANI,ALEXANDER"/>
    <s v="HINOSTROZA/ILDEFONSO, DIEGO ANDREE"/>
    <s v="LORENA PRADA GONZALES"/>
    <s v="FERREMAS FV E.I.R.L."/>
    <s v="107038101002177926"/>
    <n v="74168.22"/>
    <s v="SOLES"/>
    <d v="2023-10-21T00:00:00"/>
    <s v="38000019847"/>
    <s v="IRRECUPERABLE"/>
    <s v="101772.26"/>
    <s v="LIMA"/>
    <s v="12° JUZGADO CIVIL - COMERCIAL DE LIMA"/>
    <x v="1"/>
    <m/>
    <m/>
    <m/>
    <x v="2"/>
    <s v="Obligación de dar suma de dinero"/>
    <d v="2023-10-12T00:00:00"/>
    <s v="22401-2023-0-1817-JR-CO-12"/>
    <s v="SENTENCIA O AUTO FINAL"/>
    <s v="NINGUNO"/>
    <s v="28/04/2025RES 06: ADMITE APERSONAMIENTO"/>
    <s v="NINGUNO"/>
    <d v="2026-06-23T00:00:00"/>
    <s v="SI"/>
    <s v="SE NOTIFICA A CLIENTE EN SU VIVIENDA 2 PISOS COLOR NEGRO"/>
    <s v="MEDIO"/>
    <s v="SINVOLUNTAD DE PAGO/ SIN CAPACIDAD DE PAGO"/>
    <s v="SIN NEGOCIACIÓN"/>
  </r>
  <r>
    <x v="2"/>
    <s v="NIÑO DE GUZMAN/HUAMANI,ALEXANDER"/>
    <s v="HINOSTROZA/ILDEFONSO, DIEGO ANDREE"/>
    <s v="LORENA PRADA GONZALES"/>
    <s v="GERONIMO RODRIGUEZ, IVAN OMAR"/>
    <s v="107038101002924413"/>
    <n v="43723.13"/>
    <s v="SOLES"/>
    <d v="2024-11-18T00:00:00"/>
    <s v="38000026732"/>
    <s v="RECUPERABLE"/>
    <s v="65,154.77"/>
    <s v="LIMA"/>
    <s v="17°JUZGADO CIVIL-COMERCIAL DE LIMA"/>
    <x v="0"/>
    <d v="2024-11-14T00:00:00"/>
    <s v="34731-2024-27-1828-JR-CO-17"/>
    <n v="217253"/>
    <x v="0"/>
    <m/>
    <m/>
    <m/>
    <m/>
    <s v="INMUEBLE UBICADO EN EL LOTE 25 DE LA MANZANA J URBANIZACION SAN ELIAS, DISTRITO DE LOS OLIVOS, PROVINCIA Y DEPARTAMENTO DE LIMA. INSCRITO EN LA PARTIDA N° 44227665"/>
    <m/>
    <s v="ACCIONES Y DERECHOS"/>
    <d v="2026-06-22T00:00:00"/>
    <s v="SI"/>
    <s v="SE NOTIFICA A CLIENTE EN SU VIVIENDA 4 PISOS BLANCO ATIENDE PAPÁ"/>
    <s v="MEDIO"/>
    <s v="CON VOLUNTAD DE PAGO/ CON CAPACIDAD"/>
    <s v="CON NEGOCIACIÓN"/>
  </r>
  <r>
    <x v="2"/>
    <s v="NIÑO DE GUZMAN/HUAMANI,ALEXANDER"/>
    <s v="HINOSTROZA/ILDEFONSO, DIEGO ANDREE"/>
    <s v="LORENA PRADA GONZALES"/>
    <s v="GERONIMO RODRIGUEZ, JUAN CARLOS"/>
    <s v="107038101002466200"/>
    <n v="7956.3"/>
    <s v="SOLES"/>
    <d v="2025-04-03T00:00:00"/>
    <s v="38000022513"/>
    <s v="RECUPERABLE"/>
    <s v="24,963,36"/>
    <s v="LIMA"/>
    <s v="3° JUZGADO DE PAZ LETRADO BARRANCO Y MIRAFLORES"/>
    <x v="0"/>
    <d v="2025-03-06T00:00:00"/>
    <s v="00871-2025-67-1866-JP-CI-03"/>
    <n v="258182"/>
    <x v="1"/>
    <s v="Obligación de dar suma de dinero"/>
    <d v="2025-06-26T00:00:00"/>
    <s v="00871-2025-0-1809-JP-CI-03"/>
    <s v="SENTENCIA O AUTO FINAL"/>
    <s v="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
    <s v="27/10/2025RES 02: AUTO FINAL"/>
    <s v="TOTALIDAD DEL INMUEBLE"/>
    <d v="2026-06-22T00:00:00"/>
    <s v="SI"/>
    <s v="SE NOTIFICA A CLIENTE EN SU VIVIENDA 4 PISOS BLANCO ATIENDE PAPÁ"/>
    <s v="MEDIO"/>
    <s v="CON VOLUNTAD DE PAGO/ CON CAPACIDAD"/>
    <s v="CON NEGOCIACIÓN"/>
  </r>
  <r>
    <x v="2"/>
    <s v="NIÑO DE GUZMAN/HUAMANI,ALEXANDER"/>
    <s v="HINOSTROZA/ILDEFONSO, DIEGO ANDREE"/>
    <s v="LORENA PRADA GONZALES"/>
    <s v="GONZALES COSIO, YESICA"/>
    <s v="107038101002161553"/>
    <n v="23000"/>
    <s v="SOLES"/>
    <d v="2023-05-31T00:00:00"/>
    <s v="38000019690"/>
    <s v="IRRECUPERABLE"/>
    <s v="29180.11"/>
    <s v="LIMA"/>
    <s v="2 JUZGADO DE PAZ LETRADO BARRANCO - MIRAFLORES"/>
    <x v="1"/>
    <m/>
    <m/>
    <m/>
    <x v="2"/>
    <s v="Obligación de dar suma de dinero"/>
    <d v="2023-05-23T00:00:00"/>
    <s v="02113-2023-0-1809-JP-CI-02"/>
    <s v="SENTENCIA O AUTO FINAL"/>
    <s v="NINGUNO"/>
    <s v="11/07/2025RES 05: APERSONADOS"/>
    <s v="NINGUNO"/>
    <d v="2026-06-23T00:00:00"/>
    <s v="SI"/>
    <s v="SE NOTIFICA A CLIENTE EN SU VIVIENDA 1 PISO"/>
    <s v="MEDIO"/>
    <s v="SINVOLUNTAD DE PAGO/ SIN CAPACIDAD DE PAGO"/>
    <s v="SIN NEGOCIACIÓN"/>
  </r>
  <r>
    <x v="2"/>
    <s v="NIÑO DE GUZMAN/HUAMANI,ALEXANDER"/>
    <s v="HINOSTROZA/ILDEFONSO, DIEGO ANDREE"/>
    <s v="LORENA PRADA GONZALES"/>
    <s v="GONZALEZ GONZALEZ, JOSE ANTONIO"/>
    <s v="107038101002808674"/>
    <n v="14412.29"/>
    <s v="SOLES"/>
    <d v="2024-05-22T00:00:00"/>
    <s v="38000025672"/>
    <s v="RECUPERABLE"/>
    <s v="35851.67"/>
    <s v="LIMA"/>
    <s v="3° JUZGADO DE PAZ LETRADO BARRANCO Y MIRAFLORES"/>
    <x v="1"/>
    <m/>
    <m/>
    <m/>
    <x v="2"/>
    <s v="Obligación de dar suma de dinero"/>
    <d v="2024-05-21T00:00:00"/>
    <s v="02089-2024-0-1866-JP-CI-03"/>
    <s v="SENTENCIA O AUTO FINAL"/>
    <s v="NINGUNO"/>
    <s v="21/03/2025RES 06: APERSONADOS"/>
    <s v="NINGUNO"/>
    <d v="2026-06-22T00:00:00"/>
    <s v="SI"/>
    <s v="SE NOTIFICA A CLIENTE EL RECORDATORIO DE SU PAGO PUNTUAL DE SU CONVENIO."/>
    <s v="BAJO"/>
    <s v="CON VOLUNTAD DE PAGO/ CON CAPACIDAD"/>
    <s v="CON NEGOCIACIÓN"/>
  </r>
  <r>
    <x v="2"/>
    <s v="NIÑO DE GUZMAN/HUAMANI,ALEXANDER"/>
    <s v="HINOSTROZA/ILDEFONSO, DIEGO ANDREE"/>
    <s v="LORENA PRADA GONZALES"/>
    <s v="GRUPO VALEOGA S.A.C."/>
    <s v="107038101002138745"/>
    <n v="300000"/>
    <s v="SOLES"/>
    <d v="2023-05-31T00:00:00"/>
    <s v="38000019483"/>
    <s v="RECUPERABLE"/>
    <s v="585764.05"/>
    <s v="LIMA"/>
    <s v="11° JUZGADO CIVIL-COMERCIAL"/>
    <x v="0"/>
    <d v="2023-05-15T00:00:00"/>
    <s v="09746-2023-76-1817-JR-CO-11"/>
    <n v="888422"/>
    <x v="1"/>
    <s v="Obligación de dar suma de dinero"/>
    <d v="2023-09-21T00:00:00"/>
    <s v="09746-2023-0-1817-JR-CO-11"/>
    <s v="CONSENTIDO AUTO FINAL"/>
    <s v="URBANIZACIÓN TUPAC AMARU LOTE 02 MANZANA G-10, DISTRITO DE INDEPENDENCIA, PROVINCIA Y DEPARTAMENTO DE LIMA, que se encuentra especificado en Certificado Literal con número de partida 49015532"/>
    <s v="03/06/2026 ESCRITO: DESIGNACION DE PERITOS"/>
    <s v="TOTALIDAD DEL INMUEBLE"/>
    <d v="2026-06-23T00:00:00"/>
    <s v="SI"/>
    <s v="SE ENTREGA REQUERIMIENTO EN DOMICILIO"/>
    <s v="MEDIO"/>
    <s v="SINVOLUNTAD DE PAGO/ SIN CAPACIDAD DE PAGO"/>
    <s v="SIN NEGOCIACIÓN"/>
  </r>
  <r>
    <x v="2"/>
    <s v="NIÑO DE GUZMAN/HUAMANI,ALEXANDER"/>
    <s v="HINOSTROZA/ILDEFONSO, DIEGO ANDREE"/>
    <s v="LORENA PRADA GONZALES"/>
    <s v="HEREDIA ESTELA, MARIA LEYLA"/>
    <s v="107038101002120316"/>
    <n v="17011.97"/>
    <s v="SOLES"/>
    <d v="2023-06-21T00:00:00"/>
    <s v="38000019308"/>
    <s v="IRRECUPERABLE"/>
    <s v="17011.97"/>
    <s v="LIMA"/>
    <s v="3° JUZGADO DE PAZ LETRADO BARRANCO Y MIRAFLORES"/>
    <x v="1"/>
    <m/>
    <m/>
    <m/>
    <x v="2"/>
    <s v="Obligación de dar suma de dinero"/>
    <d v="2022-12-28T00:00:00"/>
    <s v="04833-2022-0-1809-JP-CI-01"/>
    <s v="SENTENCIA O AUTO FINAL"/>
    <s v="NINGUNO"/>
    <s v="28/03/2025RES 10: SE NOTIFICARA A LAS PARTES"/>
    <s v="NINGUNO"/>
    <d v="2026-06-24T00:00:00"/>
    <s v="SI"/>
    <s v="SE ENTREGA REQUERIMIENTO EN DOMICILIO"/>
    <s v="MEDIO"/>
    <s v="SINVOLUNTAD DE PAGO/ SIN CAPACIDAD DE PAGO"/>
    <s v="SIN NEGOCIACIÓN"/>
  </r>
  <r>
    <x v="2"/>
    <s v="NIÑO DE GUZMAN/HUAMANI,ALEXANDER"/>
    <s v="HINOSTROZA/ILDEFONSO, DIEGO ANDREE"/>
    <s v="LORENA PRADA GONZALES"/>
    <s v="HUALLPA MEJIA, EVELYN LILIANA"/>
    <s v="107038101002560142"/>
    <n v="24252.91"/>
    <s v="SOLES"/>
    <d v="2025-04-29T00:00:00"/>
    <s v="38000023392"/>
    <s v="IRRECUPERABLE"/>
    <s v="34,283,13"/>
    <s v="LIMA"/>
    <s v="2 JUZGADO DE PAZ LETRADO LINCE SAN ISIDRO"/>
    <x v="1"/>
    <m/>
    <m/>
    <m/>
    <x v="2"/>
    <s v="Obligación de dar suma de dinero"/>
    <d v="2025-04-29T00:00:00"/>
    <s v="00695-2025-0-1820-JP-CI-02"/>
    <s v="SENTENCIA O AUTO FINAL"/>
    <s v="NINGUNO"/>
    <s v="24/06/2026 RES 03: CONSENTIDO EL AUTO FINAL"/>
    <s v="NINGUNO"/>
    <d v="2026-06-22T00:00:00"/>
    <s v="SI"/>
    <s v="SE NOTIFICA A CLIENTE EN SU VIVIENDA PRECARIA DE UN PISO TECHO CALAMINA SIN PINTAR"/>
    <s v="BAJO"/>
    <s v="SINVOLUNTAD DE PAGO/ SIN CAPACIDAD DE PAGO"/>
    <s v="SIN NEGOCIACIÓN"/>
  </r>
  <r>
    <x v="2"/>
    <s v="NIÑO DE GUZMAN/HUAMANI,ALEXANDER"/>
    <s v="HINOSTROZA/ILDEFONSO, DIEGO ANDREE"/>
    <s v="LORENA PRADA GONZALES"/>
    <s v="HUAMANI RODAS, BETHSABE ALESSANDRA"/>
    <s v="107038101002383450"/>
    <n v="19021.439999999999"/>
    <s v="SOLES"/>
    <d v="2023-07-20T00:00:00"/>
    <s v="38000021732"/>
    <s v="RECUPERABLE"/>
    <s v="20533.25"/>
    <s v="LIMA"/>
    <s v="2 JUZGADO DE PAZ LETRADO BARRANCO - MIRAFLORES"/>
    <x v="0"/>
    <d v="2023-07-10T00:00:00"/>
    <s v="02737-2023-98-1809-JP-CI-05"/>
    <m/>
    <x v="1"/>
    <s v="Obligación de dar suma de dinero"/>
    <d v="2023-08-10T00:00:00"/>
    <s v="02737-2023-0-1809-JP-CI-05"/>
    <s v="EJECUCION / DESIGNACION DE PERITOS"/>
    <s v="PASAJE COMUN NUMERO 5, STAND 2198, LA VICTORIA, LIMA, que se encuentra especificado en Certificado Literal con número de partida 43681664 de la Zona Registral N° IX – SEDE LIMA – OFICINA REGISTRAL DE LIMA"/>
    <s v="12/06/2026 ESCRITO: SOLICITO APROBACION DE TASACION, PUBLICACION DE AVISO DE REMATE EN REMAJU Y FIJACION DE CARTELES"/>
    <s v="TOTALIDAD DEL INMUEBLE"/>
    <d v="2026-06-22T00:00:00"/>
    <s v="SI"/>
    <s v="SE NOTIFICA A CLIENTE EN SU VIVIENDA EDIFICIO DE 5 PISOS COLOR LADRILLO"/>
    <s v="MEDIO"/>
    <s v="SINVOLUNTAD DE PAGO/ SIN CAPACIDAD DE PAGO"/>
    <s v="SIN NEGOCIACIÓN"/>
  </r>
  <r>
    <x v="2"/>
    <s v="NIÑO DE GUZMAN/HUAMANI,ALEXANDER"/>
    <s v="HINOSTROZA/ILDEFONSO, DIEGO ANDREE"/>
    <s v="LORENA PRADA GONZALES"/>
    <s v="HUANCAS VASQUEZ, LUZ JEARELY"/>
    <s v="107038101002765040"/>
    <n v="53418.78"/>
    <s v="SOLES"/>
    <d v="2023-09-26T00:00:00"/>
    <s v="38000025266"/>
    <s v="RECUPERABLE"/>
    <s v="57386.04"/>
    <s v="LIMA"/>
    <s v="13°JUZGADO CIVIL-COMERCIAL DE LIMA"/>
    <x v="0"/>
    <d v="2023-09-22T00:00:00"/>
    <s v="20207-2023-45-1817-JR-CO-13"/>
    <n v="698337"/>
    <x v="1"/>
    <s v="Obligación de dar suma de dinero"/>
    <d v="2023-12-27T00:00:00"/>
    <s v="20207-2023-0-1817-JR-CO-13"/>
    <s v="SENTENCIA O AUTO FINAL"/>
    <s v="PREDIO URBANO JR LAS BEGONIAS MZ K LOTE 4 LA BANDA DE SHILCAYO, que se encuentra especificado en Certificado Literal con número de partida 11032547 de la Zona Registral N° III – SEDE MOYOBAMBA – OFICINA REGISTRAL DE TARAPOTO / TÍTULO : TARAPOTO - 2023 - 03549057"/>
    <s v="20/05/2026 ESCRITO: ADJUNTO ARANCELES"/>
    <s v="TOTALIDAD DEL INMUEBLE"/>
    <d v="2026-06-22T00:00:00"/>
    <s v="SI"/>
    <s v="SE NOTIFICA A CLIENTE EN SU VIVIENDA EN LURIN CASA 2 PISOS COLOR BLANCO TIENE SU CENTRO DE BELLEZA DE"/>
    <s v="MEDIO"/>
    <s v="SINVOLUNTAD DE PAGO/ SIN CAPACIDAD DE PAGO"/>
    <s v="SIN NEGOCIACIÓN"/>
  </r>
  <r>
    <x v="2"/>
    <s v="NIÑO DE GUZMAN/HUAMANI,ALEXANDER"/>
    <s v="HINOSTROZA/ILDEFONSO, DIEGO ANDREE"/>
    <s v="LORENA PRADA GONZALES"/>
    <s v="INSERCOMGAS S.A.C."/>
    <s v="107038101002184015"/>
    <n v="35898.33"/>
    <s v="SOLES"/>
    <d v="2024-07-10T00:00:00"/>
    <s v="38000019904"/>
    <s v="IRRECUPERABLE"/>
    <s v="58, 679. 36"/>
    <s v="LIMA"/>
    <s v="15°JUZGADO CIVIL-COMERCIAL DE LIMA"/>
    <x v="1"/>
    <m/>
    <m/>
    <m/>
    <x v="2"/>
    <s v="Obligación de dar suma de dinero"/>
    <d v="2024-07-17T00:00:00"/>
    <s v="22148-2024-0-1828-JR-CO-15"/>
    <s v="ADMISION"/>
    <s v="NINGUNO"/>
    <s v="16/03/2026 ESCRITO: SOLICITO AUTO FINAL"/>
    <s v="NINGUNO"/>
    <d v="2026-06-23T00:00:00"/>
    <s v="SI"/>
    <s v="SE NOTIFICA A CLIENTE EN SU VIVIENDA PORTON PLOMO CASA BLANCA"/>
    <s v="BAJO"/>
    <s v="SINVOLUNTAD DE PAGO/ SIN CAPACIDAD DE PAGO"/>
    <s v="SIN NEGOCIACIÓN"/>
  </r>
  <r>
    <x v="2"/>
    <s v="NIÑO DE GUZMAN/HUAMANI,ALEXANDER"/>
    <s v="HINOSTROZA/ILDEFONSO, DIEGO ANDREE"/>
    <s v="LORENA PRADA GONZALES"/>
    <s v="INVERSIONES CRISTELLE AD E.I.R.L."/>
    <s v="107038101002241665"/>
    <n v="74294.289999999994"/>
    <s v="SOLES"/>
    <d v="2025-08-23T00:00:00"/>
    <s v="TESTIMONIO"/>
    <s v="RECUPERABLE"/>
    <s v="122,302.17"/>
    <s v="LIMA"/>
    <s v="12° JUZGADO CIVIL - COMERCIAL DE LIMA"/>
    <x v="1"/>
    <m/>
    <m/>
    <m/>
    <x v="2"/>
    <s v="Ejecución de garantía"/>
    <d v="2025-08-22T00:00:00"/>
    <s v="18650-2025-0-1828-JR-CO-12"/>
    <s v="ADMISION"/>
    <s v="TOTALIDAD DEL INMUEBLE UBICADO EN LOCAL 146 (PRIMER NIVEL) JIRON ANDAHUAYLAS- CALLE PLAZUELA DE SANTA CATALINA Nº 1138, CERCADO DE LIMA, LIMA, INSCRITO EN LA PARTIDA ELECTRONICA Nº 11929058"/>
    <s v="26/06/2026 RES 06: SE APERSONA DEMANDADA Y SE DETALLA QUE YA SE COMUNICO CONVENIO"/>
    <s v="TOTALIDAD DEL INMUEBLE"/>
    <d v="2026-06-22T00:00:00"/>
    <s v="SI"/>
    <s v="SE ENTREGA REQUERIMIENTO EN DOMICILIO"/>
    <s v="ALTO"/>
    <s v="SINVOLUNTAD DE PAGO/ SIN CAPACIDAD DE PAGO"/>
    <s v="CON NEGOCIACIÓN"/>
  </r>
  <r>
    <x v="2"/>
    <s v="NIÑO DE GUZMAN/HUAMANI,ALEXANDER"/>
    <s v="HINOSTROZA/ILDEFONSO, DIEGO ANDREE"/>
    <s v="LORENA PRADA GONZALES"/>
    <s v="INVERSIONES PARA LA PRODUCCION Y SERVICIOS S.A.C."/>
    <s v="107038101002169270"/>
    <n v="20193.93"/>
    <s v="SOLES"/>
    <d v="2023-12-30T00:00:00"/>
    <s v="38000019759"/>
    <s v="IRRECUPERABLE"/>
    <s v="38305.83"/>
    <s v="LIMA"/>
    <s v="4° JUZGADO DE PAZ LETRADO (SEDE BARRANCO - MIRAFLORES)"/>
    <x v="1"/>
    <m/>
    <m/>
    <m/>
    <x v="2"/>
    <s v="Obligación de dar suma de dinero"/>
    <d v="2023-12-28T00:00:00"/>
    <s v="06415-2023-0-1809-JP-CI-04"/>
    <s v="ADMISION"/>
    <s v="NINGUNO"/>
    <s v="08/05/2026 ESCRITO: ABSUELVO TRASLADO"/>
    <s v="NINGUNO"/>
    <d v="2026-06-23T00:00:00"/>
    <s v="SI"/>
    <s v="SE NOTIFICA A CLIENTE EN SU VIVIENDA 4 PISOS COLOR BEICHE"/>
    <s v="MEDIO"/>
    <s v="SINVOLUNTAD DE PAGO/ SIN CAPACIDAD DE PAGO"/>
    <s v="SIN NEGOCIACIÓN"/>
  </r>
  <r>
    <x v="2"/>
    <s v="NIÑO DE GUZMAN/HUAMANI,ALEXANDER"/>
    <s v="HINOSTROZA/ILDEFONSO, DIEGO ANDREE"/>
    <s v="LORENA PRADA GONZALES"/>
    <s v="ISAMARA CATERING EIRL"/>
    <s v="107038101002129852"/>
    <n v="14826.53"/>
    <s v="SOLES"/>
    <d v="2023-05-31T00:00:00"/>
    <s v="38000019395"/>
    <s v="IRRECUPERABLE"/>
    <s v="23158.82"/>
    <s v="LIMA"/>
    <s v="3° JUZGADO DE PAZ LETRADO BARRANCO Y MIRAFLORES"/>
    <x v="0"/>
    <d v="2023-06-02T00:00:00"/>
    <s v="02154-2023-95-1809-JP-CI-01"/>
    <n v="811601"/>
    <x v="1"/>
    <s v="Obligación de dar suma de dinero"/>
    <d v="2023-07-31T00:00:00"/>
    <s v="02154-2023-0-1809-JP-CI-01"/>
    <s v="SENTENCIA O AUTO FINAL"/>
    <s v="SOBRE EL 100% DE LAS ACCIONES Y DERECHOS, del bien mueble de la sociedad conyugal LUNA VASQUEZ VICTOR HUGO, cuyas características son las siguientes: _x000a_  - Carrocería : MULTIPROPÓSITO_x000a_  - Marca : CHEVROLET_x000a_  - Modelo : N300_x000a_  - Año de fabricación : 2013_x000a_  - Placa de rodaje : F7L207_x000a_  - Partida registral : 52859559_x000a_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_x000a_  _x000a_  - SOBRE EL 100% DE LAS ACCIONES Y DERECHOS, del bien mueble de la persona jurídica ISAMARA CATERING EIRL, cuyas características son las siguientes: _x000a_  - Carrocería : FURGÓN_x000a_  - Marca : BAW_x000a_  - Modelo : INCAPOWER B40_x000a_  - Año de fabricación : 2015_x000a_  - Placa de rodaje : APR946_x000a_  - Partida registral : 53476503_x000a_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s v="20/02/2026 ESCRITO: ADJUNTO DOCUMENTOS PARA LA BUSQUEDA Y CAPTURA"/>
    <s v="TOTALIDAD DEL MUEBLE"/>
    <d v="2026-06-24T00:00:00"/>
    <s v="SI"/>
    <s v="SE ENTREGA REQUERIMIENTO EN DOMICILIO"/>
    <s v="MEDIO"/>
    <s v="SINVOLUNTAD DE PAGO/ SIN CAPACIDAD DE PAGO"/>
    <s v="SIN NEGOCIACIÓN"/>
  </r>
  <r>
    <x v="2"/>
    <s v="NIÑO DE GUZMAN/HUAMANI,ALEXANDER"/>
    <s v="HINOSTROZA/ILDEFONSO, DIEGO ANDREE"/>
    <s v="LORENA PRADA GONZALES"/>
    <s v="JOHARI M &amp; N INVERSIONES E.I.R.L."/>
    <s v="107038101002117778"/>
    <n v="11278.67"/>
    <s v="SOLES"/>
    <d v="2023-07-25T00:00:00"/>
    <s v="38000020062"/>
    <s v="IRRECUPERABLE"/>
    <s v="59180.31"/>
    <s v="LIMA"/>
    <s v="11° JUZGADO CIVIL-COMERCIAL"/>
    <x v="1"/>
    <m/>
    <m/>
    <m/>
    <x v="2"/>
    <s v="Obligación de dar suma de dinero"/>
    <d v="2025-02-12T00:00:00"/>
    <s v="03336-2025-0-1828-JR-CO-11"/>
    <s v="SENTENCIA O AUTO FINAL"/>
    <s v="NINGUNO"/>
    <s v="15/01/2026 RES. 04: AUTO FINAL"/>
    <s v="NINGUNO"/>
    <d v="2026-06-24T00:00:00"/>
    <s v="SI"/>
    <s v="SE ENTREGA REQUERIMIENTO EN DOMICILIO"/>
    <s v="MEDIO"/>
    <s v="SINVOLUNTAD DE PAGO/ SIN CAPACIDAD DE PAGO"/>
    <s v="SIN NEGOCIACIÓN"/>
  </r>
  <r>
    <x v="2"/>
    <s v="NIÑO DE GUZMAN/HUAMANI,ALEXANDER"/>
    <s v="HINOSTROZA/ILDEFONSO, DIEGO ANDREE"/>
    <s v="LORENA PRADA GONZALES"/>
    <s v="JURADO REMICIO, LLINDER HAROLDO"/>
    <s v="107038101002561981"/>
    <n v="17877.98"/>
    <s v="SOLES"/>
    <d v="2025-04-29T00:00:00"/>
    <s v="38000023407"/>
    <s v="RECUPERABLE"/>
    <s v="25,386.50"/>
    <s v="LIMA"/>
    <s v="3 JUZGADO DE PAZ LETRADO LINCE SAN ISIDRO"/>
    <x v="1"/>
    <m/>
    <m/>
    <m/>
    <x v="2"/>
    <s v="Obligación de dar suma de dinero"/>
    <d v="2025-04-29T00:00:00"/>
    <s v="00697-2025-0-1820-JP-CI-03"/>
    <s v="SENTENCIA O AUTO FINAL"/>
    <s v="NINGUNO"/>
    <s v="04/06/2025RES 02: AUTO FINAL"/>
    <s v="NINGUNO"/>
    <d v="2026-06-22T00:00:00"/>
    <s v="SI"/>
    <s v="SE NOTIFICA A CLIENTE EN SU VIVIENDA CASA 1 PISO COLOR AZUL CON TECHO DE CALAMINA"/>
    <s v="BAJO"/>
    <s v="CON VOLUNTAD DE PAGO/ CON CAPACIDAD"/>
    <s v="SIN NEGOCIACIÓN"/>
  </r>
  <r>
    <x v="2"/>
    <s v="NIÑO DE GUZMAN/HUAMANI,ALEXANDER"/>
    <s v="HINOSTROZA/ILDEFONSO, DIEGO ANDREE"/>
    <s v="LORENA PRADA GONZALES"/>
    <s v="LFA &amp; SUMINISTROS MINEROS S.A.C. LFA &amp; SUMIN S.A.C."/>
    <s v="107038101002204828"/>
    <n v="67011.320000000007"/>
    <s v="SOLES"/>
    <d v="2023-10-31T00:00:00"/>
    <s v="38000020094"/>
    <s v="IRRECUPERABLE"/>
    <s v="87357.15"/>
    <s v="LIMA"/>
    <s v="16°JUZGADO CIVIL-COMERCIAL DE LIMA"/>
    <x v="1"/>
    <m/>
    <m/>
    <m/>
    <x v="2"/>
    <s v="Obligación de dar suma de dinero"/>
    <d v="2023-10-31T00:00:00"/>
    <s v="24453-2023-0-1817-JR-CO-16"/>
    <s v="ADMISION"/>
    <s v="NINGUNO"/>
    <s v="16/03/2026 ESCRITO: SOLICITO AUTO FINAL"/>
    <s v="NINGUNO"/>
    <d v="2026-06-22T00:00:00"/>
    <s v="SI"/>
    <s v="SE NOTIFICA A CLIENTE EN SU VIVIENDA DEL AVAL EDIFICIO DE 10 PISOS COLOR PLOMO SE DEJA EN RECEPCION"/>
    <s v="MEDIO"/>
    <s v="SINVOLUNTAD DE PAGO/ SIN CAPACIDAD DE PAGO"/>
    <s v="SIN NEGOCIACIÓN"/>
  </r>
  <r>
    <x v="2"/>
    <s v="NIÑO DE GUZMAN/HUAMANI,ALEXANDER"/>
    <s v="HINOSTROZA/ILDEFONSO, DIEGO ANDREE"/>
    <s v="LORENA PRADA GONZALES"/>
    <s v="LMC CONSTRUCCION &amp; INGENIERIA S.A.C"/>
    <s v="107038101002140318"/>
    <n v="10893.75"/>
    <s v="SOLES"/>
    <d v="2023-05-31T00:00:00"/>
    <s v="38000019499"/>
    <s v="IRRECUPERABLE"/>
    <s v="16548.81"/>
    <s v="LIMA"/>
    <s v="3° JUZGADO DE PAZ LETRADO BARRANCO Y MIRAFLORES"/>
    <x v="1"/>
    <m/>
    <m/>
    <m/>
    <x v="2"/>
    <s v="Obligación de dar suma de dinero"/>
    <d v="2023-05-23T00:00:00"/>
    <s v="02102-2023-0-1809-JP-CI-03"/>
    <s v="SENTENCIA O AUTO FINAL"/>
    <s v="NINGUNO"/>
    <s v="05/05/2026 RES 18: NOTIFIQUESE A LAS PARTES ( LUEGO DE ELLO SE TOMARA EN CUENTA EL ESCRITO DE CONSENTIMEINTO )"/>
    <s v="NINGUNO"/>
    <d v="2026-06-23T00:00:00"/>
    <s v="SI"/>
    <s v="SE NOTIFICA A CLIENTE EN SU VIVIENDA 2 PISOS COLOR VERDE OSCURO"/>
    <s v="MEDIO"/>
    <s v="SINVOLUNTAD DE PAGO/ SIN CAPACIDAD DE PAGO"/>
    <s v="SIN NEGOCIACIÓN"/>
  </r>
  <r>
    <x v="2"/>
    <s v="NIÑO DE GUZMAN/HUAMANI,ALEXANDER"/>
    <s v="HINOSTROZA/ILDEFONSO, DIEGO ANDREE"/>
    <s v="LORENA PRADA GONZALES"/>
    <s v="LOSSIO OLAVARRIA, ERNESTO GABRIEL"/>
    <s v="107038101002904855"/>
    <n v="10889.64"/>
    <s v="SOLES"/>
    <d v="2024-06-25T00:00:00"/>
    <s v="38000026551"/>
    <s v="RECUPERABLE"/>
    <s v="12,878.42"/>
    <s v="LIMA"/>
    <s v="3° JUZGADO DE PAZ LETRADO BARRANCO Y MIRAFLORES"/>
    <x v="2"/>
    <d v="2024-06-24T00:00:00"/>
    <s v="02711-2024-91-1866-JP-CI-03"/>
    <n v="684219"/>
    <x v="3"/>
    <s v="Obligación de dar suma de dinero"/>
    <d v="2025-09-18T00:00:00"/>
    <s v="02711-2024-0-1809-JP-CI-03"/>
    <s v="ADMISION"/>
    <s v="CUENTAS BANCARIAS"/>
    <s v="03/06/2026 ESCRITO: SOLICITA CONSENTIMIENTO DE AUTO FINAL, REQUERIMIENTO DE PAGO Y ENDOSO DE DEPÓSITOS JUDICIALES"/>
    <s v="CUENTA DE AHORRO"/>
    <d v="2026-06-22T00:00:00"/>
    <s v="SI"/>
    <s v="SE NOTIFICA A CLIENTE EN SU VIVIENDA QUINTA COLOR NARANJA"/>
    <s v="BAJO"/>
    <s v="SINVOLUNTAD DE PAGO/ SIN CAPACIDAD DE PAGO"/>
    <s v="SIN NEGOCIACIÓN"/>
  </r>
  <r>
    <x v="2"/>
    <s v="NIÑO DE GUZMAN/HUAMANI,ALEXANDER"/>
    <s v="HINOSTROZA/ILDEFONSO, DIEGO ANDREE"/>
    <s v="LORENA PRADA GONZALES"/>
    <s v="LVL EXPORT S.A.C."/>
    <s v="107038101002196804"/>
    <n v="5220.29"/>
    <s v="SOLES"/>
    <d v="2025-04-29T00:00:00"/>
    <s v="38000020025"/>
    <s v="IRRECUPERABLE"/>
    <s v="58,571.43"/>
    <s v="LIMA"/>
    <s v="5° JUZGADO CIVIL-COMERCIAL DE LIMA"/>
    <x v="1"/>
    <m/>
    <m/>
    <m/>
    <x v="2"/>
    <s v="Obligación de dar suma de dinero"/>
    <d v="2025-04-29T00:00:00"/>
    <s v="09392-2025-0-1828-JR-CO-05"/>
    <s v="SENTENCIA O AUTO FINAL"/>
    <s v="NINGUNO"/>
    <s v="12/06/2026 RES 03: CONSENTIDO EL AUTO FINAL"/>
    <s v="NINGUNO"/>
    <d v="2026-06-23T00:00:00"/>
    <s v="SI"/>
    <s v="SE NOTIFICA A CLIENTE EN SU VIVIENDA EDIFICIO DE 10 PISOS PLOMO SE DEJA EN RECEPCION"/>
    <s v="BAJO"/>
    <s v="SINVOLUNTAD DE PAGO/ SIN CAPACIDAD DE PAGO"/>
    <s v="SIN NEGOCIACIÓN"/>
  </r>
  <r>
    <x v="2"/>
    <s v="NIÑO DE GUZMAN/HUAMANI,ALEXANDER"/>
    <s v="HINOSTROZA/ILDEFONSO, DIEGO ANDREE"/>
    <s v="LORENA PRADA GONZALES"/>
    <s v="MAMANI FARFAN, VINCENT DAVID"/>
    <s v="107038101003186602"/>
    <n v="20000"/>
    <s v="SOLES"/>
    <d v="2025-09-16T00:00:00"/>
    <s v="38000029123"/>
    <s v="IRRECUPERABLE"/>
    <s v="23,824.37"/>
    <s v="LIMA"/>
    <s v="3 JUZGADO DE PAZ LETRADO LINCE SAN ISIDRO"/>
    <x v="1"/>
    <m/>
    <m/>
    <m/>
    <x v="2"/>
    <s v="Obligación de dar suma de dinero"/>
    <d v="2025-09-04T00:00:00"/>
    <s v="01420-2025-0-1820-JP-CI-03"/>
    <s v="SENTENCIA O AUTO FINAL"/>
    <s v="NINGUNO"/>
    <s v="04/05/2026 RES 03: CONSENTIDO AUTO FINAL Y REQUIERASE PAGO"/>
    <s v="NINGUNO"/>
    <d v="2026-06-22T00:00:00"/>
    <s v="SI"/>
    <s v="SE ENTREGA REQUERIMIENTO EN DOMICILIO"/>
    <s v="BAJO"/>
    <s v="SINVOLUNTAD DE PAGO/ SIN CAPACIDAD DE PAGO"/>
    <s v="SIN NEGOCIACIÓN"/>
  </r>
  <r>
    <x v="2"/>
    <s v="NIÑO DE GUZMAN/HUAMANI,ALEXANDER"/>
    <s v="HINOSTROZA/ILDEFONSO, DIEGO ANDREE"/>
    <s v="LORENA PRADA GONZALES"/>
    <s v="MARCACUZCO PALOMINO, NICOL ALONDRA"/>
    <s v="107038101003256006"/>
    <n v="72547.399999999994"/>
    <s v="SOLES"/>
    <d v="2025-10-02T00:00:00"/>
    <s v="51000024334"/>
    <s v="RECUPERABLE"/>
    <s v="79,201.08"/>
    <s v="LIMA"/>
    <s v="3°JUZGADO CIVIL-COMERCIAL DE LIMA"/>
    <x v="0"/>
    <d v="2025-06-26T00:00:00"/>
    <s v="13985-2025-57-1828-JR-CO-03"/>
    <n v="888419"/>
    <x v="1"/>
    <s v="Obligación de dar suma de dinero"/>
    <d v="2026-05-13T00:00:00"/>
    <s v="13985-2025-0-1817-JR-CO-03"/>
    <s v="EN CALIFICACION"/>
    <s v="TOTALIDAD QUE LE CORRESPONDEN AL FIADOR MARCACUZCO PALOMINO, JORGE LUIS, DEL BIEN INMUEBLE UBICADO EN DEPARTAMENTO 101 – PRIMER PISO EDIFICIO 16, AVENIDA PRIMERO DE MAYO NUMERO 1947, RESIDENCIAL LOS PARQUES DE VILLA EL SALVADOR, VILLA EL SALVADOR, LIMA, LIMA PARTIDA ELECTRÓNICA N°13156266"/>
    <s v="13/05/2026 ESCRITO: PRESENTACION DE FORMALIZACION"/>
    <s v="TOTALIDAD DEL INMUEBLE"/>
    <d v="2026-06-22T00:00:00"/>
    <s v="SI"/>
    <s v="SE ENTREGA REQUERIMIENTO EN DOMICILIO"/>
    <s v="MEDIO"/>
    <s v="SINVOLUNTAD DE PAGO/ SIN CAPACIDAD DE PAGO"/>
    <s v="SIN NEGOCIACIÓN"/>
  </r>
  <r>
    <x v="2"/>
    <s v="NIÑO DE GUZMAN/HUAMANI,ALEXANDER"/>
    <s v="HINOSTROZA/ILDEFONSO, DIEGO ANDREE"/>
    <s v="LORENA PRADA GONZALES"/>
    <s v="MARIN MARTOS, BETTY GLORIA"/>
    <s v="107038101002173077"/>
    <n v="13100.7"/>
    <s v="SOLES"/>
    <d v="2023-05-31T00:00:00"/>
    <s v="38000019797"/>
    <s v="IRRECUPERABLE"/>
    <s v="23843.8"/>
    <s v="LIMA"/>
    <s v="2 JUZGADO DE PAZ LETRADO BARRANCO - MIRAFLORES"/>
    <x v="0"/>
    <d v="2023-05-24T00:00:00"/>
    <s v="02132-2023-11-1809-JP-CI-02"/>
    <m/>
    <x v="1"/>
    <s v="Obligación de dar suma de dinero"/>
    <d v="2023-07-24T00:00:00"/>
    <s v="02132-2023-0-1809-JP-CI-02"/>
    <s v="SENTENCIA O AUTO FINAL"/>
    <s v="PUEBLO JOVEN REPUBLICA DEMOCRATICA ALEMANA MZ F LOTE 4, que se encuentra especificado en Certificado Literal con número de partida P03109654 de la Zona Registral N° IX – SEDE LIMA – OFICINA REGISTRAL DE LIMA.(TITULO 2023-02032627)"/>
    <s v="20/05/2026 RES 07: NOTIFIQUESE POR ULTIMA VEZ AL MERITO MARTINEZ CHANG PARA QUE SE APERSONE"/>
    <s v="ACCIONES Y DERECHOS"/>
    <d v="2026-06-23T00:00:00"/>
    <s v="SI"/>
    <s v="SE NOTIFICA A CLIENTE EN SU VIVIENDA 2 PISOS"/>
    <s v="MEDIO"/>
    <s v="SINVOLUNTAD DE PAGO/ SIN CAPACIDAD DE PAGO"/>
    <s v="SIN NEGOCIACIÓN"/>
  </r>
  <r>
    <x v="2"/>
    <s v="NIÑO DE GUZMAN/HUAMANI,ALEXANDER"/>
    <s v="HINOSTROZA/ILDEFONSO, DIEGO ANDREE"/>
    <s v="LORENA PRADA GONZALES"/>
    <s v="MEJIA VEGA, DENIS"/>
    <s v="107038101003030569"/>
    <n v="27755.29"/>
    <s v="SOLES"/>
    <d v="2025-09-16T00:00:00"/>
    <s v="38000027706"/>
    <s v="IRRECUPERABLE"/>
    <s v="32,686.10"/>
    <s v="LIMA"/>
    <s v="4º JUZGADO DE PAZ LETRADO LINCE- SAN ISIDRO"/>
    <x v="1"/>
    <m/>
    <m/>
    <m/>
    <x v="2"/>
    <s v="Obligación de dar suma de dinero"/>
    <d v="2025-09-04T00:00:00"/>
    <s v="01418-2025-0-1820-JP-CI-04"/>
    <s v="SENTENCIA O AUTO FINAL"/>
    <s v="NINGUNO"/>
    <s v="06/03/2026 RES 04: AUTO FINAL"/>
    <s v="NINGUNO"/>
    <d v="2026-06-22T00:00:00"/>
    <s v="SI"/>
    <s v="SE ENTREGA REQUERIMIENTO EN DOMICILIO"/>
    <s v="BAJO"/>
    <s v="SINVOLUNTAD DE PAGO/ SIN CAPACIDAD DE PAGO"/>
    <s v="SIN NEGOCIACIÓN"/>
  </r>
  <r>
    <x v="2"/>
    <s v="NIÑO DE GUZMAN/HUAMANI,ALEXANDER"/>
    <s v="HINOSTROZA/ILDEFONSO, DIEGO ANDREE"/>
    <s v="LORENA PRADA GONZALES"/>
    <s v="MENDOZA HUAMANI, HERLINDA GREGORIA"/>
    <s v="107038101002484585"/>
    <n v="24939.7"/>
    <s v="SOLES"/>
    <d v="2024-04-19T00:00:00"/>
    <s v="38000022690"/>
    <s v="RECUPERABLE"/>
    <s v="26559.12"/>
    <s v="LIMA"/>
    <s v="3° JUZGADO DE PAZ LETRADO BARRANCO Y MIRAFLORES"/>
    <x v="0"/>
    <d v="2025-02-21T00:00:00"/>
    <s v="00726-2025-80-1866-JP-CI-03"/>
    <n v="191547"/>
    <x v="1"/>
    <s v="Obligación de dar suma de dinero"/>
    <d v="2025-06-06T00:00:00"/>
    <s v="00726-2025-0-1809-JP-CI-03"/>
    <s v="ADMISION"/>
    <s v="DEPOSITO 11 - SEGUNDO PISO CALLE SAN DIEGO NUMERO 103 DISTRITO SURQUILLO, que se encuentra especificado en Certificado Literal con número de partida 42107298 de la Zona Registral N° IX – SEDE LIMA – OFICINA REGISTRAL DE LIMA"/>
    <s v="03/07/2025RES 01: ADMITIDA LA FORMALIZACION"/>
    <s v="TOTALIDAD DEL INMUEBLE"/>
    <d v="2026-06-22T00:00:00"/>
    <s v="SI"/>
    <s v="SE NOTIFICA A CLIENTE EN SU VIVIENDA 3 PISOS COLOR AZUL SE DEJA A HIJOS"/>
    <s v="MEDIO"/>
    <s v="SINVOLUNTAD DE PAGO/ SIN CAPACIDAD DE PAGO"/>
    <s v="SIN NEGOCIACIÓN"/>
  </r>
  <r>
    <x v="2"/>
    <s v="NIÑO DE GUZMAN/HUAMANI,ALEXANDER"/>
    <s v="HINOSTROZA/ILDEFONSO, DIEGO ANDREE"/>
    <s v="LORENA PRADA GONZALES"/>
    <s v="MORALES SANCHEZ, DANY DANIEL"/>
    <s v="107038101002204929"/>
    <n v="105391.82"/>
    <s v="SOLES"/>
    <d v="2023-05-31T00:00:00"/>
    <s v="38000020095"/>
    <s v="RECUPERABLE"/>
    <s v="296374.09"/>
    <s v="LIMA"/>
    <s v="7°JUZGADO CIVIL-COMERCIAL DE LIMA"/>
    <x v="0"/>
    <d v="2023-05-25T00:00:00"/>
    <s v="10489-2023-68-1817-JR-CO-07"/>
    <n v="561196"/>
    <x v="1"/>
    <s v="Obligación de dar suma de dinero"/>
    <d v="2023-09-14T00:00:00"/>
    <s v="10489-2023-0-1817-JR-CO-07"/>
    <s v="SENTENCIA O AUTO FINAL"/>
    <s v="CENTRO POBLADO RURAL CAJUCA MZ D4 LOTE 20 ETAPA SEGUNDA, QUE SE ENCUENTRA ESPECIFICADO EN CERTIFICADO LITERAL CON NÚMERO DE PARTIDA P05003511 DE LA ZONA REGISTRAL N° XI – SEDE ICA – OFICINA REGISTRAL DE NASCA"/>
    <s v="17/06/2025RES 03:AUTO FINAL"/>
    <s v="TOTALIDAD DEL INMUEBLE"/>
    <d v="2026-06-22T00:00:00"/>
    <s v="SI"/>
    <s v="SE NOTIFICA A CLIENTE EL RECORDATORIO DE SU PAGO PUNTUAL DE SU CONVENIO."/>
    <s v="MEDIO"/>
    <s v="CON VOLUNTAD DE PAGO/ CON CAPACIDAD"/>
    <s v="CON NEGOCIACIÓN"/>
  </r>
  <r>
    <x v="2"/>
    <s v="NIÑO DE GUZMAN/HUAMANI,ALEXANDER"/>
    <s v="HINOSTROZA/ILDEFONSO, DIEGO ANDREE"/>
    <s v="LORENA PRADA GONZALES"/>
    <s v="MUÑOZ ALVARADO, BRIGGIT DAYANNE"/>
    <s v="107038101002133639"/>
    <n v="22723.439999999999"/>
    <s v="SOLES"/>
    <d v="2023-07-26T00:00:00"/>
    <s v="38000019433"/>
    <s v="IRRECUPERABLE"/>
    <s v="30648.95"/>
    <s v="LIMA"/>
    <s v="3° JUZGADO DE PAZ LETRADO BARRANCO Y MIRAFLORES"/>
    <x v="1"/>
    <m/>
    <m/>
    <m/>
    <x v="2"/>
    <s v="Obligación de dar suma de dinero"/>
    <d v="2023-07-24T00:00:00"/>
    <s v="03104-2023-0-1809-JP-CI-05"/>
    <s v="SENTENCIA O AUTO FINAL"/>
    <s v="NINGUNO"/>
    <s v="15/03/2025RES 15: APERSONADO"/>
    <s v="NINGUNO"/>
    <d v="2026-06-24T00:00:00"/>
    <s v="SI"/>
    <s v="SE NOTIFICA A CLIENTE EN SU VIVIENDA 2 PISOS COLOR CREMA BODEGA"/>
    <s v="MEDIO"/>
    <s v="SINVOLUNTAD DE PAGO/ SIN CAPACIDAD DE PAGO"/>
    <s v="SIN NEGOCIACIÓN"/>
  </r>
  <r>
    <x v="2"/>
    <s v="NIÑO DE GUZMAN/HUAMANI,ALEXANDER"/>
    <s v="HINOSTROZA/ILDEFONSO, DIEGO ANDREE"/>
    <s v="LORENA PRADA GONZALES"/>
    <s v="NEYRA NEYRA, ADRIAN ALAIN"/>
    <s v="107038101002226507"/>
    <n v="10000"/>
    <s v="SOLES"/>
    <d v="2023-06-21T00:00:00"/>
    <s v="38000018000"/>
    <s v="IRRECUPERABLE"/>
    <s v="19414.62"/>
    <s v="LIMA"/>
    <s v="2 JUZGADO DE PAZ LETRADO LINCE SAN ISIDRO"/>
    <x v="1"/>
    <m/>
    <m/>
    <m/>
    <x v="2"/>
    <s v="Obligación de dar suma de dinero"/>
    <d v="2025-02-17T00:00:00"/>
    <s v="00270-2025-0-1820-JP-CI-02"/>
    <s v="SENTENCIA O AUTO FINAL"/>
    <s v="NINGUNO"/>
    <s v="13/04/2026 RES 09: CONSENTIDO EL AUTO FINAL"/>
    <s v="NINGUNO"/>
    <d v="2026-06-22T00:00:00"/>
    <s v="SI"/>
    <s v="SE ENTREGA REQUERIMIENTO EN DOMICILIO"/>
    <s v="MEDIO"/>
    <s v="SINVOLUNTAD DE PAGO/ SIN CAPACIDAD DE PAGO"/>
    <s v="SIN NEGOCIACIÓN"/>
  </r>
  <r>
    <x v="2"/>
    <s v="NIÑO DE GUZMAN/HUAMANI,ALEXANDER"/>
    <s v="HINOSTROZA/ILDEFONSO, DIEGO ANDREE"/>
    <s v="LORENA PRADA GONZALES"/>
    <s v="NUEVA SIERRA SAC"/>
    <s v="107038101002119871"/>
    <n v="10503.71"/>
    <s v="SOLES"/>
    <d v="2023-05-30T00:00:00"/>
    <s v="38000019302"/>
    <s v="IRRECUPERABLE"/>
    <s v="220683.52"/>
    <s v="LIMA"/>
    <s v="7°JUZGADO CIVIL-COMERCIAL DE LIMA"/>
    <x v="0"/>
    <d v="2023-09-13T00:00:00"/>
    <s v="19336-2023-27-1817-JR-CO-07"/>
    <n v="633948"/>
    <x v="1"/>
    <s v="Obligación de dar suma de dinero"/>
    <d v="2023-11-15T00:00:00"/>
    <s v="19336-2023-0-1817-JR-CO-07"/>
    <s v="SENTENCIA O AUTO FINAL"/>
    <s v="(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
    <s v="03/06/2026 ESCRITO: SOLICITA REQUERIMIENTO DE PAGO POR ÚLTIMA VEZ PREVIO A LA EJECUCIÓN FORZADA"/>
    <s v="EN SEGUNDO RANGO A MÁS"/>
    <d v="2026-06-24T00:00:00"/>
    <s v="SI"/>
    <s v="SE ENTREGA REQUERIMIENTO EN DOMICILIO"/>
    <s v="MEDIO"/>
    <s v="SINVOLUNTAD DE PAGO/ SIN CAPACIDAD DE PAGO"/>
    <s v="SIN NEGOCIACIÓN"/>
  </r>
  <r>
    <x v="2"/>
    <s v="NIÑO DE GUZMAN/HUAMANI,ALEXANDER"/>
    <s v="HINOSTROZA/ILDEFONSO, DIEGO ANDREE"/>
    <s v="LORENA PRADA GONZALES"/>
    <s v="PINCHI ARMAS, LUCINDA YDALITH"/>
    <s v="107038101003312449"/>
    <n v="57404.84"/>
    <s v="SOLES"/>
    <d v="2025-03-10T00:00:00"/>
    <s v="38000030269"/>
    <s v="RECUPERABLE"/>
    <s v="61,223,75"/>
    <s v="LIMA"/>
    <s v="6 JUZGADO COMERCIAL DE LIMA"/>
    <x v="0"/>
    <d v="2025-03-06T00:00:00"/>
    <s v="05359-2025-78-1828-JR-CO-06"/>
    <n v="811844"/>
    <x v="1"/>
    <s v="Obligación de dar suma de dinero"/>
    <d v="2026-04-17T00:00:00"/>
    <s v="05359-2025-0-1817-JR-CO-06"/>
    <s v="ADMISION"/>
    <s v="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
    <s v="10/06/2026 ESCRITO: ADJUNTO LINK DE CAVALI"/>
    <s v="TOTALIDAD DEL INMUEBLE"/>
    <d v="2026-06-22T00:00:00"/>
    <s v="SI"/>
    <s v="SE ENTREGA REQUERIMIENTO EN DOMICILIO"/>
    <s v="MEDIO"/>
    <s v="SINVOLUNTAD DE PAGO/ SIN CAPACIDAD DE PAGO"/>
    <s v="SIN NEGOCIACIÓN"/>
  </r>
  <r>
    <x v="2"/>
    <s v="NIÑO DE GUZMAN/HUAMANI,ALEXANDER"/>
    <s v="HINOSTROZA/ILDEFONSO, DIEGO ANDREE"/>
    <s v="LORENA PRADA GONZALES"/>
    <s v="PORROA SAAVEDRA, BETTSY KATERINE"/>
    <s v="107038101002365202"/>
    <n v="9174.98"/>
    <s v="SOLES"/>
    <d v="2023-04-22T00:00:00"/>
    <s v="38000021566"/>
    <s v="RECUPERABLE"/>
    <s v="44612.54"/>
    <s v="LIMA"/>
    <s v="3° JUZGADO DE PAZ LETRADO BARRANCO Y MIRAFLORES"/>
    <x v="0"/>
    <d v="2023-04-21T00:00:00"/>
    <s v="02009-2023-71-1809-JP-CI-03"/>
    <n v="974111"/>
    <x v="1"/>
    <s v="Obligación de dar suma de dinero"/>
    <d v="2023-07-24T00:00:00"/>
    <s v="02009-2023-0-1809-JP-CI-03"/>
    <s v="SENTENCIA O AUTO FINAL"/>
    <s v="ASENTAMIENTO HUMANO LAS LADERAS DE VILLA MZ. H LOTE 14, SAN JUAN DE MIRAFLORES, LIMA, que se encuentra especificado en Certificado Literal con número de partida P03139578 (TITULO 2023-01999036)"/>
    <s v="15/03/2025RES 7: APERSONADO"/>
    <s v="TOTALIDAD DEL INMUEBLE"/>
    <d v="2026-06-22T00:00:00"/>
    <s v="SI"/>
    <s v="SE NOTIFICA A CLIENTE EL RECORDATORIO DE SU PAGO PUNTUAL DE SU CONVENIO."/>
    <s v="MEDIO"/>
    <s v="CON VOLUNTAD DE PAGO/ CON CAPACIDAD"/>
    <s v="CON NEGOCIACIÓN"/>
  </r>
  <r>
    <x v="2"/>
    <s v="NIÑO DE GUZMAN/HUAMANI,ALEXANDER"/>
    <s v="HINOSTROZA/ILDEFONSO, DIEGO ANDREE"/>
    <s v="LORENA PRADA GONZALES"/>
    <s v="QUISPE DIAZ, EDITH LAGOS"/>
    <s v="107038101002159693"/>
    <n v="20000"/>
    <s v="SOLES"/>
    <d v="2023-05-31T00:00:00"/>
    <s v="38000019671"/>
    <s v="IRRECUPERABLE"/>
    <s v="40458.91"/>
    <s v="LIMA"/>
    <s v="3° JUZGADO DE PAZ LETRADO BARRANCO Y MIRAFLORES"/>
    <x v="1"/>
    <m/>
    <m/>
    <m/>
    <x v="2"/>
    <s v="Obligación de dar suma de dinero"/>
    <d v="2023-05-23T00:00:00"/>
    <s v="02115-2023-0-1809-JP-CI-03"/>
    <s v="SENTENCIA O AUTO FINAL"/>
    <s v="NINGUNO"/>
    <s v="15/03/2025RES 14: APERSONADO"/>
    <s v="NINGUNO"/>
    <d v="2026-06-23T00:00:00"/>
    <s v="SI"/>
    <s v="SE ENTREGA REQUERIMIENTO EN DOMICILIO"/>
    <s v="MEDIO"/>
    <s v="SINVOLUNTAD DE PAGO/ SIN CAPACIDAD DE PAGO"/>
    <s v="SIN NEGOCIACIÓN"/>
  </r>
  <r>
    <x v="2"/>
    <s v="NIÑO DE GUZMAN/HUAMANI,ALEXANDER"/>
    <s v="HINOSTROZA/ILDEFONSO, DIEGO ANDREE"/>
    <s v="LORENA PRADA GONZALES"/>
    <s v="REPRESENTACIONES 4.L.L. S.A.C"/>
    <s v="107038101002092861"/>
    <n v="23483.45"/>
    <s v="SOLES"/>
    <d v="2023-02-04T00:00:00"/>
    <s v="TESTIMONIO"/>
    <s v="RECUPERABLE"/>
    <s v="69480.52"/>
    <s v="LIMA"/>
    <s v="10°JUZGADO CIVIL-COMERCIAL"/>
    <x v="1"/>
    <m/>
    <m/>
    <m/>
    <x v="2"/>
    <s v="Ejecución de garantía"/>
    <d v="2023-02-02T00:00:00"/>
    <s v="02226-2023-0-1817-JR-CO-10"/>
    <s v="SENTENCIA O AUTO FINAL"/>
    <s v="Departamento de Lima e inscrito en la Partida Electrónica N° 14019321"/>
    <s v="14/04/2026 ESCRITO: SE ADJUNTAN PAGOS DE PERITO Y PROGRAMAR FECHA Y HORA PARA LA TASACION"/>
    <s v="TOTALIDAD DEL INMUEBLE"/>
    <d v="2026-06-24T00:00:00"/>
    <s v="SI"/>
    <s v="SE NOTIFICA A CLIENTE EN SU VIVIENDA CASA 1 PISOS AZUL PUERTA NEGRA RECIBE FAMILIAR"/>
    <s v="ALTO"/>
    <s v="CON VOLUNTAD DE PAGO/ CON CAPACIDAD"/>
    <s v="SIN NEGOCIACIÓN"/>
  </r>
  <r>
    <x v="2"/>
    <s v="NIÑO DE GUZMAN/HUAMANI,ALEXANDER"/>
    <s v="HINOSTROZA/ILDEFONSO, DIEGO ANDREE"/>
    <s v="LORENA PRADA GONZALES"/>
    <s v="RIVAS SIMON, DAVIS ELIAS"/>
    <s v="107038101003012127"/>
    <n v="39405.980000000003"/>
    <s v="SOLES"/>
    <d v="2024-08-31T00:00:00"/>
    <s v="38000027537"/>
    <s v="RECUPERABLE"/>
    <s v="42,268.79"/>
    <s v="LIMA"/>
    <s v="2 JUZGADO DE PAZ LETRADO BARRANCO - MIRAFLORES"/>
    <x v="0"/>
    <d v="2024-08-26T00:00:00"/>
    <s v="03943-2024-6-1866-JP-CI-02"/>
    <n v="970145"/>
    <x v="1"/>
    <s v="Obligación de dar suma de dinero"/>
    <d v="2025-11-05T00:00:00"/>
    <s v="03943-2024-0-1809-JP-CI-02"/>
    <s v="ADMISION"/>
    <s v="INMUEBLE ASENTAMIENTO HUMANO AGRUPAMIENTO DE FAMILIAS LA HIGUERA MZ. A LOTE 10, DISTRITO DE LURIN, PROVINCIA Y DEPARTAMENTO DE LIMA, PARTIDA P03282553"/>
    <s v="03/06/2026 ESCRITO: AUTO FINAL"/>
    <s v="TOTALIDAD DEL INMUEBLE"/>
    <d v="2026-06-22T00:00:00"/>
    <s v="SI"/>
    <s v="SE NOTIFICA A CLIENTE EN SU VIVIENDA 3 PISOS COLOR CREMA"/>
    <s v="BAJO"/>
    <s v="SINVOLUNTAD DE PAGO/ SIN CAPACIDAD DE PAGO"/>
    <s v="SIN NEGOCIACIÓN"/>
  </r>
  <r>
    <x v="2"/>
    <s v="NIÑO DE GUZMAN/HUAMANI,ALEXANDER"/>
    <s v="HINOSTROZA/ILDEFONSO, DIEGO ANDREE"/>
    <s v="LORENA PRADA GONZALES"/>
    <s v="SALCEDO SUCA, CARLOS ALFONSO"/>
    <s v="107038101003343467"/>
    <n v="9851.02"/>
    <s v="SOLES"/>
    <d v="2025-07-31T00:00:00"/>
    <s v="38000030544"/>
    <s v="RECUPERABLE"/>
    <s v="17,443,38"/>
    <s v="LIMA"/>
    <s v="3° JUZGADO DE PAZ LETRADO BARRANCO Y MIRAFLORES"/>
    <x v="0"/>
    <d v="2025-09-04T00:00:00"/>
    <s v="03191-2025-20-1866-JP-CI-03"/>
    <n v="305398"/>
    <x v="1"/>
    <s v="Obligación de dar suma de dinero"/>
    <d v="2025-09-04T00:00:00"/>
    <s v="03191-2025-0-1809-JP-CI-03"/>
    <s v="ADMISION"/>
    <s v="SOBRE LAS ACCIONES Y DERECHOS QUE LE CORRESPONDEN AL TITULARSALCEDO SUCA CARLOS ALFONSO, DEL BIEN INMUEBLE UBICADO EN ASENTAMIEN O HUMANO LOS ROSALES MZ O LOTE 2, SAN JUAN DE MIRAFLORES, LIMA, LIMA, INSCRITO EN LA PARTIDA ELECTRÓNICA N° P03279629"/>
    <s v="12/05/2026 ESCRITO: ABSUELVO TRASLADO"/>
    <s v="ACCIONES Y DERECHOS"/>
    <d v="2026-06-22T00:00:00"/>
    <s v="SI"/>
    <s v="SE ENTREGA REQUERIMIENTO EN DOMICILIO"/>
    <s v="MEDIO"/>
    <s v="CON VOLUNTAD DE PAGO/ CON CAPACIDAD"/>
    <s v="CON NEGOCIACIÓN"/>
  </r>
  <r>
    <x v="2"/>
    <s v="NIÑO DE GUZMAN/HUAMANI,ALEXANDER"/>
    <s v="HINOSTROZA/ILDEFONSO, DIEGO ANDREE"/>
    <s v="LORENA PRADA GONZALES"/>
    <s v="SERVICIOS INTEGRALES GALINDO S.A.C"/>
    <s v="107038101002761400"/>
    <n v="36808.639999999999"/>
    <s v="SOLES"/>
    <d v="2024-04-23T00:00:00"/>
    <s v="38000025232"/>
    <s v="RECUPERABLE"/>
    <s v="70648.61"/>
    <s v="LIMA"/>
    <s v="13°JUZGADO CIVIL-COMERCIAL DE LIMA"/>
    <x v="0"/>
    <d v="2024-04-22T00:00:00"/>
    <s v="13886-2024-53-1828-JR-CO-13"/>
    <n v="294484"/>
    <x v="1"/>
    <s v="Obligación de dar suma de dinero"/>
    <d v="2024-07-18T00:00:00"/>
    <s v="22213-2024-0-1828-JR-CO-16"/>
    <s v="ADMISION"/>
    <s v="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TE DE PROPIEDAD DE SU AVAL SU MAMA LIDIA HERIBERTA HERNANDEZ"/>
    <s v="30/04/2026 RES 04: NOTIFIQUE SE A LOS AVALES"/>
    <s v="TOTALIDAD DEL INMUEBLE"/>
    <d v="2026-06-22T00:00:00"/>
    <s v="SI"/>
    <s v="SE NOTIFICA A CLIENTE EL RECORDATORIO DE SU PAGO PUNTUAL DE SU CONVENIO."/>
    <s v="MEDIO"/>
    <s v="CON VOLUNTAD DE PAGO/ CON CAPACIDAD"/>
    <s v="CON NEGOCIACIÓN"/>
  </r>
  <r>
    <x v="2"/>
    <s v="NIÑO DE GUZMAN/HUAMANI,ALEXANDER"/>
    <s v="HINOSTROZA/ILDEFONSO, DIEGO ANDREE"/>
    <s v="LORENA PRADA GONZALES"/>
    <s v="SILVA PANDURO, KENNETT ALEXIS"/>
    <s v="107038101003052595"/>
    <n v="29132.49"/>
    <s v="SOLES"/>
    <d v="2025-09-16T00:00:00"/>
    <s v="38000027911"/>
    <s v="IRRECUPERABLE"/>
    <s v="34,285.67"/>
    <s v="LIMA"/>
    <s v="4º JUZGADO DE PAZ LETRADO LINCE- SAN ISIDRO"/>
    <x v="1"/>
    <m/>
    <m/>
    <m/>
    <x v="2"/>
    <s v="Obligación de dar suma de dinero"/>
    <d v="2025-09-04T00:00:00"/>
    <s v="01421-2025-0-1820-JP-CI-04"/>
    <s v="SENTENCIA O AUTO FINAL"/>
    <s v="NINGUNO"/>
    <s v="29/05/2026 RES 03: CONSENTIDO EL AUTO FINAL"/>
    <s v="NINGUNO"/>
    <d v="2026-06-22T00:00:00"/>
    <s v="SI"/>
    <s v="SE ENTREGA REQUERIMIENTO EN DOMICILIO"/>
    <s v="BAJO"/>
    <s v="SINVOLUNTAD DE PAGO/ SIN CAPACIDAD DE PAGO"/>
    <s v="SIN NEGOCIACIÓN"/>
  </r>
  <r>
    <x v="2"/>
    <s v="NIÑO DE GUZMAN/HUAMANI,ALEXANDER"/>
    <s v="HINOSTROZA/ILDEFONSO, DIEGO ANDREE"/>
    <s v="LORENA PRADA GONZALES"/>
    <s v="TOLENTINO CALLUPE, ROBERTO JUAN"/>
    <s v="107038101002171069"/>
    <n v="18556.8"/>
    <s v="SOLES"/>
    <d v="2023-05-31T00:00:00"/>
    <s v="38000019777"/>
    <s v="IRRECUPERABLE"/>
    <s v="23809.41"/>
    <s v="LIMA"/>
    <s v="4° JUZGADO DE PAZ LETRADO (SEDE BARRANCO - MIRAFLORES)"/>
    <x v="1"/>
    <m/>
    <m/>
    <m/>
    <x v="2"/>
    <s v="Obligación de dar suma de dinero"/>
    <d v="2023-05-23T00:00:00"/>
    <s v="02101-2023-0-1809-JP-CI-04"/>
    <s v="ADMISION"/>
    <s v="NINGUNO"/>
    <s v="02/07/2026 RES 05: SOBRECARTESE A LAS PARTES"/>
    <s v="NINGUNO"/>
    <d v="2026-06-23T00:00:00"/>
    <s v="SI"/>
    <s v="SE NOTIFICA A CLIENTE EN SU VIVIENDA CASA 2 PISOS"/>
    <s v="MEDIO"/>
    <s v="SINVOLUNTAD DE PAGO/ SIN CAPACIDAD DE PAGO"/>
    <s v="SIN NEGOCIACIÓN"/>
  </r>
  <r>
    <x v="2"/>
    <s v="NIÑO DE GUZMAN/HUAMANI,ALEXANDER"/>
    <s v="HINOSTROZA/ILDEFONSO, DIEGO ANDREE"/>
    <s v="LORENA PRADA GONZALES"/>
    <s v="TORRES TECCO, ALBERT ELEADES"/>
    <s v="107038101002145494"/>
    <n v="10100"/>
    <s v="SOLES"/>
    <d v="2023-05-31T00:00:00"/>
    <s v="38000019545"/>
    <s v="IRRECUPERABLE"/>
    <s v="21072.94"/>
    <s v="LIMA"/>
    <s v="4º JUZGADO DE PAZ LETRADO LINCE- SAN ISIDRO"/>
    <x v="1"/>
    <m/>
    <m/>
    <s v="-"/>
    <x v="2"/>
    <s v="Obligación de dar suma de dinero"/>
    <d v="2025-02-10T00:00:00"/>
    <s v="00224-2025-0-1820-JP-CI-04"/>
    <s v="SENTENCIA O AUTO FINAL"/>
    <s v="NINGUNO"/>
    <s v="02/06/2026 RES 09: AUTO FINAL"/>
    <s v="NINGUNO"/>
    <d v="2026-06-23T00:00:00"/>
    <s v="SI"/>
    <s v="SE NOTIFICA A CLIENTE EN SU VIVIENDA 1 PISO"/>
    <s v="MEDIO"/>
    <s v="SINVOLUNTAD DE PAGO/ SIN CAPACIDAD DE PAGO"/>
    <s v="SIN NEGOCIACIÓN"/>
  </r>
  <r>
    <x v="2"/>
    <s v="NIÑO DE GUZMAN/HUAMANI,ALEXANDER"/>
    <s v="HINOSTROZA/ILDEFONSO, DIEGO ANDREE"/>
    <s v="LORENA PRADA GONZALES"/>
    <s v="TOTAL TRADE TOPACIO S.A.C."/>
    <s v="107038101002700665"/>
    <n v="22018.639999999999"/>
    <s v="SOLES"/>
    <d v="2023-07-26T00:00:00"/>
    <s v="38000024781"/>
    <s v="RECUPERABLE"/>
    <s v="19931.29"/>
    <s v="LIMA"/>
    <s v="3° JUZGADO DE PAZ LETRADO BARRANCO Y MIRAFLORES"/>
    <x v="0"/>
    <d v="2023-08-22T00:00:00"/>
    <s v="03892-2023-99-1809-JP-CI-03"/>
    <m/>
    <x v="1"/>
    <s v="Obligación de dar suma de dinero"/>
    <d v="2023-11-07T00:00:00"/>
    <s v="03892-2023-0-1809-JP-CI-03"/>
    <s v="SENTENCIA O AUTO FINAL"/>
    <s v="ASOCIACION DE VIVIENDA URBANIZADORA SAN ROQUE MZ J LOTE 17 UNIDAD INMOBILIARIA A, que se encuentra especificado en Certificado Literal con número de partida P01372920 (TITULO 2023-2927902)"/>
    <s v="11/02/2026 ESCRITO: SOLICITO SE DESIGNE PERITOS"/>
    <s v="TOTALIDAD DEL INMUEBLE"/>
    <d v="2026-06-22T00:00:00"/>
    <s v="SI"/>
    <s v="SE NOTIFICA A CLIENTE EN SU VIVIENDA EDIFICIO 12 PISOS COLOR CREMA"/>
    <s v="MEDIO"/>
    <s v="SINVOLUNTAD DE PAGO/ SIN CAPACIDAD DE PAGO"/>
    <s v="SIN NEGOCIACIÓN"/>
  </r>
  <r>
    <x v="2"/>
    <s v="NIÑO DE GUZMAN/HUAMANI,ALEXANDER"/>
    <s v="HINOSTROZA/ILDEFONSO, DIEGO ANDREE"/>
    <s v="LORENA PRADA GONZALES"/>
    <s v="TOTAL TRADE TOPACIO S.A.C."/>
    <s v="107038101002712327"/>
    <n v="9279.4"/>
    <s v="SOLES"/>
    <d v="2023-08-29T00:00:00"/>
    <s v="38000024670"/>
    <s v="RECUPERABLE"/>
    <s v="23608.02"/>
    <s v="LIMA"/>
    <s v="4° JUZGADO DE PAZ LETRADO (SEDE BARRANCO - MIRAFLORES)"/>
    <x v="0"/>
    <d v="2023-07-25T00:00:00"/>
    <s v="03245-2023-44-1809-JP-CI-05"/>
    <n v="741069"/>
    <x v="1"/>
    <s v="Obligación de dar suma de dinero"/>
    <d v="2023-11-07T00:00:00"/>
    <s v="03245-2023-0-1809-JP-CI-05"/>
    <s v="SENTENCIA O AUTO FINAL"/>
    <s v="ASOCIACION DE VIVIENDA URBANIZADORA SAN ROQUE MZ J LOTE 17 UNIDAD INMOBILIARIA A, que se encuentra especificado en Certificado Literal con número de partida P01372920"/>
    <s v="11/02/2026 ESCRITO: AUTO FINAL"/>
    <s v="TOTALIDAD DEL INMUEBLE"/>
    <d v="2026-06-22T00:00:00"/>
    <s v="SI"/>
    <s v="SE NOTIFICA A CLIENTE EN SU VIVIENDA EDIFICIO 12 PISOS COLOR CREMA"/>
    <s v="ALTO"/>
    <s v="SINVOLUNTAD DE PAGO/ SIN CAPACIDAD DE PAGO"/>
    <s v="SIN NEGOCIACIÓN"/>
  </r>
  <r>
    <x v="2"/>
    <s v="NIÑO DE GUZMAN/HUAMANI,ALEXANDER"/>
    <s v="HINOSTROZA/ILDEFONSO, DIEGO ANDREE"/>
    <s v="LORENA PRADA GONZALES"/>
    <s v="UNION PACIFIC INTERNATIONAL S.A.C"/>
    <s v="107038101002206666"/>
    <n v="147400.57"/>
    <s v="SOLES"/>
    <d v="2024-03-30T00:00:00"/>
    <s v="38000020111"/>
    <s v="RECUPERABLE"/>
    <s v="236578.28"/>
    <s v="LIMA"/>
    <s v="12° JUZGADO CIVIL - COMERCIAL DE LIMA"/>
    <x v="0"/>
    <d v="2024-03-27T00:00:00"/>
    <s v="11118-2024-15-1828-JR-CO-12"/>
    <n v="2144"/>
    <x v="1"/>
    <s v="Obligación de dar suma de dinero"/>
    <d v="2025-11-28T00:00:00"/>
    <s v="11118-2024-0-1817-JR-CO-12"/>
    <s v="ADMISION"/>
    <s v="INMUEBLE DE 2 PISOS CALLE MARTIN DE PORRES NUMERO 125-129-135, URBANIZACIÓN DEL FUNDO CONDE DE SAN ISIDRO, DISTRITO DE SAN ISIDRO, LIMA PARTIDA 07030893"/>
    <s v="14/04/2026 ESCRITO: ABSUELVO TRASLADO"/>
    <s v="TOTALIDAD DEL INMUEBLE"/>
    <d v="2026-06-22T00:00:00"/>
    <s v="SI"/>
    <s v="SE NOTIFICA A CLIENTE EL RECORDATORIO DE SU PAGO PUNTUAL DE SU CONVENIO."/>
    <s v="MEDIO"/>
    <s v="CON VOLUNTAD DE PAGO/ CON CAPACIDAD"/>
    <s v="SIN NEGOCIACIÓN"/>
  </r>
  <r>
    <x v="2"/>
    <s v="NIÑO DE GUZMAN/HUAMANI,ALEXANDER"/>
    <s v="HINOSTROZA/ILDEFONSO, DIEGO ANDREE"/>
    <s v="LORENA PRADA GONZALES"/>
    <s v="VEGA POSADA, HERNAN ALEJANDRO"/>
    <s v="107038101002409451"/>
    <n v="84667.3"/>
    <s v="SOLES"/>
    <d v="2025-04-29T00:00:00"/>
    <s v="38000021978"/>
    <s v="IRRECUPERABLE"/>
    <s v="122,098.48"/>
    <s v="LIMA"/>
    <s v="15°JUZGADO CIVIL-COMERCIAL DE LIMA"/>
    <x v="1"/>
    <m/>
    <m/>
    <m/>
    <x v="2"/>
    <s v="Obligación de dar suma de dinero"/>
    <d v="2025-04-29T00:00:00"/>
    <s v="09385-2025-0-1828-JR-CO-15"/>
    <s v="ADMISION"/>
    <s v="NINGUNO"/>
    <s v="15/05/2026 ESCRITO: AUTO FINAL"/>
    <s v="NINGUNO"/>
    <d v="2026-06-22T00:00:00"/>
    <s v="SI"/>
    <s v="SE NOTIFICA A CLIENTE EN SU VIVIENDA CASA 2 PISOS COLOR ROJO"/>
    <s v="BAJO"/>
    <s v="SINVOLUNTAD DE PAGO/ SIN CAPACIDAD DE PAGO"/>
    <s v="SIN NEGOCIACIÓN"/>
  </r>
  <r>
    <x v="3"/>
    <s v="NIÑO DE GUZMAN/HUAMANI,ALEXANDER"/>
    <s v="HINOSTROZA/ILDEFONSO, DIEGO ANDREE"/>
    <s v="LORENA PRADA GONZALES"/>
    <s v="ALEJO SALVADOR, WALTER"/>
    <s v="107147101000962278"/>
    <n v="25000"/>
    <s v="SOLES"/>
    <d v="2025-09-02T00:00:00"/>
    <s v="147000008448"/>
    <s v="IRRECUPERABLE"/>
    <s v="29,560.62"/>
    <s v="LIMA"/>
    <s v="3 JUZGADO DE PAZ LETRADO LINCE SAN ISIDRO"/>
    <x v="1"/>
    <m/>
    <m/>
    <m/>
    <x v="2"/>
    <s v="Obligación de dar suma de dinero"/>
    <d v="2025-08-29T00:00:00"/>
    <s v="01391-2025-0-1820-JP-CI-03"/>
    <s v="SENTENCIA O AUTO FINAL"/>
    <s v="NINGUNO"/>
    <s v="19/05/2026 RES 03: CONSENTIDO EL AUTO FINAL Y REQUIERASE PAGO"/>
    <s v="NINGUNO"/>
    <d v="2026-06-26T00:00:00"/>
    <s v="SI"/>
    <s v="SE ENTREGA REQUERIMIENTO EN DOMICILIO"/>
    <s v="BAJO"/>
    <s v="SINVOLUNTAD DE PAGO/ SIN CAPACIDAD DE PAGO"/>
    <s v="SIN NEGOCIACIÓN"/>
  </r>
  <r>
    <x v="3"/>
    <s v="NIÑO DE GUZMAN/HUAMANI,ALEXANDER"/>
    <s v="HINOSTROZA/ILDEFONSO, DIEGO ANDREE"/>
    <s v="LORENA PRADA GONZALES"/>
    <s v="ANCHILLO MORALES, LUCINDA"/>
    <s v="107147101000922921"/>
    <n v="23497.75"/>
    <s v="SOLES"/>
    <d v="2024-10-31T00:00:00"/>
    <s v="147000008076"/>
    <s v="RECUPERABLE"/>
    <s v="31,681,11"/>
    <s v="LIMA"/>
    <s v="2 JUZGADO DE PAZ LETRADO BARRANCO - MIRAFLORES"/>
    <x v="0"/>
    <d v="2024-10-30T00:00:00"/>
    <s v="05080-2024-2-1866-JP-CI-02"/>
    <n v="854350"/>
    <x v="1"/>
    <s v="Obligación de dar suma de dinero"/>
    <d v="2025-01-17T00:00:00"/>
    <s v="05080-2024-0-1809-JP-CI-02"/>
    <s v="ADMISION"/>
    <s v="1 RANGO LA TOTALIDAD DEL INMUEBLE DEL FIADOR ANCHILLO MORALES NORCA, UBICADO EN MZ E LT 9 AA.HH 8 DE DICIEMBRE VENTANILLA, CALLAO, LIMA. P: P52029015"/>
    <s v="21/05/2026 ESCRITO: SOLICITO HABILITACION"/>
    <s v="TOTALIDAD DEL INMUEBLE"/>
    <d v="2026-06-26T00:00:00"/>
    <s v="SI"/>
    <s v="SE NOTIFICA A CLIENTE EL RECORDATORIO DE SU PAGO PUNTUAL DE SU CONVENIO."/>
    <s v="MEDIO"/>
    <s v="CON VOLUNTAD DE PAGO/ CON CAPACIDAD"/>
    <s v="SIN NEGOCIACIÓN"/>
  </r>
  <r>
    <x v="3"/>
    <s v="NIÑO DE GUZMAN/HUAMANI,ALEXANDER"/>
    <s v="HINOSTROZA/ILDEFONSO, DIEGO ANDREE"/>
    <s v="LORENA PRADA GONZALES"/>
    <s v="ASTO BARRA, EDGAR"/>
    <s v="107147101000528783"/>
    <n v="22909.05"/>
    <s v="SOLES"/>
    <d v="2024-07-02T00:00:00"/>
    <s v="14700004560"/>
    <s v="RECUPERABLE"/>
    <s v="37312.03"/>
    <s v="LIMA"/>
    <s v="15°JUZGADO CIVIL-COMERCIAL DE LIMA"/>
    <x v="0"/>
    <d v="2024-05-21T00:00:00"/>
    <s v="16692-2024-88-1828-JR-CO-15"/>
    <n v="309137"/>
    <x v="1"/>
    <s v="Obligación de dar suma de dinero"/>
    <d v="2024-10-10T00:00:00"/>
    <s v="16692-2024-0-1817-JR-CO-15"/>
    <s v="ADMISION"/>
    <s v="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
    <s v="30/03/2026 ESCRITO: ADJUNTO ARANCEL DE EXHORTO"/>
    <s v="TOTALIDAD DEL MUEBLE"/>
    <d v="2026-06-26T00:00:00"/>
    <s v="SI"/>
    <s v="SE NOTIFICA A CLIENTE EL RECORDATORIO DE SU PAGO PUNTUAL DE SU CONVENIO."/>
    <s v="MEDIO"/>
    <s v="CON VOLUNTAD DE PAGO/ CON CAPACIDAD"/>
    <s v="SIN NEGOCIACIÓN"/>
  </r>
  <r>
    <x v="3"/>
    <s v="NIÑO DE GUZMAN/HUAMANI,ALEXANDER"/>
    <s v="HINOSTROZA/ILDEFONSO, DIEGO ANDREE"/>
    <s v="LORENA PRADA GONZALES"/>
    <s v="BS TELECOM PERU S.A.C"/>
    <s v="107147101000225339"/>
    <n v="30000"/>
    <s v="SOLES"/>
    <d v="2023-05-17T00:00:00"/>
    <s v="147000001981"/>
    <s v="IRRECUPERABLE"/>
    <s v="58,076.60"/>
    <s v="LIMA"/>
    <s v="9° JUZGADO CIVIL COMERCIAL LIMA"/>
    <x v="1"/>
    <m/>
    <m/>
    <m/>
    <x v="2"/>
    <s v="Obligación de dar suma de dinero"/>
    <d v="2023-05-09T00:00:00"/>
    <s v="09271-2023-0-1817-JR-CO-09"/>
    <s v="SENTENCIA O AUTO FINAL"/>
    <s v="NINGUNO"/>
    <s v="16/03/2026 ESCRITO: REQUERIMIENTO DE PAGO"/>
    <s v="NINGUNO"/>
    <d v="2026-06-26T00:00:00"/>
    <s v="SI"/>
    <s v="SE ENTREGA REQUERIMIENTO EN DOMICILIO"/>
    <s v="BAJO"/>
    <s v="SINVOLUNTAD DE PAGO/ SIN CAPACIDAD DE PAGO"/>
    <s v="SIN NEGOCIACIÓN"/>
  </r>
  <r>
    <x v="3"/>
    <s v="NIÑO DE GUZMAN/HUAMANI,ALEXANDER"/>
    <s v="HINOSTROZA/ILDEFONSO, DIEGO ANDREE"/>
    <s v="LORENA PRADA GONZALES"/>
    <s v="CANACHO ZEVALLOS, ROBERTO LULLY"/>
    <s v="107147101001237951"/>
    <n v="43422.51"/>
    <s v="SOLES"/>
    <d v="2025-10-30T00:00:00"/>
    <s v="147000010863"/>
    <s v="RECUPERABLE"/>
    <s v="47,774.13"/>
    <s v="LIMA"/>
    <s v="2 JUZGADO DE PAZ LETRADO BARRANCO - MIRAFLORES"/>
    <x v="0"/>
    <d v="2025-10-23T00:00:00"/>
    <s v="05069-2025-22-1866-JP-CI-02"/>
    <n v="375955"/>
    <x v="1"/>
    <s v="Obligación de dar suma de dinero"/>
    <d v="2025-11-24T00:00:00"/>
    <s v="05069-2025-0-1809-JP-CI-02"/>
    <s v="ADMISION"/>
    <s v="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
    <s v="12/05/2026: RES 1 ADMITIDA LA DEMANDA"/>
    <s v="TOTALIDAD DEL INMUEBLE"/>
    <d v="2026-06-26T00:00:00"/>
    <s v="SI"/>
    <s v="SE ENTREGA REQUERIMIENTO EN DOMICILIO"/>
    <s v="MEDIO"/>
    <s v="SINVOLUNTAD DE PAGO/ SIN CAPACIDAD DE PAGO"/>
    <s v="SIN NEGOCIACIÓN"/>
  </r>
  <r>
    <x v="3"/>
    <s v="NIÑO DE GUZMAN/HUAMANI,ALEXANDER"/>
    <s v="HINOSTROZA/ILDEFONSO, DIEGO ANDREE"/>
    <s v="LORENA PRADA GONZALES"/>
    <s v="CHAVARRIA PONCE, SEGUNDINA MARILUZ"/>
    <s v="107147101000210969"/>
    <n v="8770.9699999999993"/>
    <s v="SOLES"/>
    <d v="2023-07-26T00:00:00"/>
    <s v="147000001859"/>
    <s v="RECUPERABLE"/>
    <s v="22,028.53"/>
    <s v="LIMA ESTE"/>
    <s v="JUZGADO DE PAZ LETRADO SAN JUAN DE LURIGANCHO"/>
    <x v="0"/>
    <d v="2023-07-24T00:00:00"/>
    <s v="03828-2023-1-3207-JP-CI-02"/>
    <m/>
    <x v="1"/>
    <s v="Obligación de dar suma de dinero"/>
    <d v="2024-02-22T00:00:00"/>
    <s v="03828-2023-0-3207-JP-CI-02"/>
    <s v="SENTENCIA O AUTO FINAL"/>
    <s v="ACCIONES Y DERECHOS DEL INMUEBLE QUE LE CORRESPONDEN AL CONYUGE TORRES CAYOTOPA, JOSE ALEX UBICADO EN PROGRAMA CIUDAD MARISCAL CAECERES, SECTOR II MZ.B18 LOTE 09, GRUPO RESIDENCIAL B, BARRIO 1, DISTRITO DE SAN JUAN DE LURIGANCHO,LIMA,LIMA INSCRITO EN LA PARTIDA Nº P02094838"/>
    <s v="26/8/2025 RES 09: CONSENTIDO EL AUTO FINAL"/>
    <s v="ACCIONES Y DERECHOS"/>
    <d v="2026-06-26T00:00:00"/>
    <s v="SI"/>
    <s v="SE NOTIFICA A CLIENTE EL RECORDATORIO DE SU PAGO PUNTUAL DE SU CONVENIO."/>
    <s v="MEDIO"/>
    <s v="CON VOLUNTAD DE PAGO/ CON CAPACIDAD"/>
    <s v="CON NEGOCIACIÓN"/>
  </r>
  <r>
    <x v="3"/>
    <s v="NIÑO DE GUZMAN/HUAMANI,ALEXANDER"/>
    <s v="HINOSTROZA/ILDEFONSO, DIEGO ANDREE"/>
    <s v="LORENA PRADA GONZALES"/>
    <s v="CPS PERU S.A.C."/>
    <s v="107147101000208104"/>
    <n v="234991.45"/>
    <s v="SOLES"/>
    <d v="2023-07-24T00:00:00"/>
    <s v="147000001834"/>
    <s v="IRRECUPERABLE"/>
    <s v="269,979.70"/>
    <s v="LIMA"/>
    <s v="8 J CIVIL COMERCIAL"/>
    <x v="1"/>
    <m/>
    <m/>
    <m/>
    <x v="2"/>
    <s v="Obligación de dar suma de dinero"/>
    <d v="2023-07-21T00:00:00"/>
    <s v="15211-2023-0-1817-JR-CO-08"/>
    <s v="SENTENCIA O AUTO FINAL"/>
    <s v="NINGUNO"/>
    <s v="22/01/2026 ESCRITO: ADJUNTO LIQUIDACION Y OTROS"/>
    <s v="NINGUNO"/>
    <d v="2026-06-26T00:00:00"/>
    <s v="SI"/>
    <s v="SE NOTIFICA A CLIENTE EN SU VIVIENDA DE AVAL EDIFICIO 6 PISOS COLOR PLOMO"/>
    <s v="BAJO"/>
    <s v="SINVOLUNTAD DE PAGO/ SIN CAPACIDAD DE PAGO"/>
    <s v="SIN NEGOCIACIÓN"/>
  </r>
  <r>
    <x v="3"/>
    <s v="NIÑO DE GUZMAN/HUAMANI,ALEXANDER"/>
    <s v="HINOSTROZA/ILDEFONSO, DIEGO ANDREE"/>
    <s v="LORENA PRADA GONZALES"/>
    <s v="DIVERSA HUALLAGA S.A.C."/>
    <s v="107147101000202184"/>
    <n v="81939.070000000007"/>
    <s v="SOLES"/>
    <d v="2023-05-17T00:00:00"/>
    <s v="147000001785"/>
    <s v="IRRECUPERABLE"/>
    <s v="135,350.06"/>
    <s v="LIMA"/>
    <s v="15°JUZGADO CIVIL-COMERCIAL DE LIMA"/>
    <x v="1"/>
    <m/>
    <m/>
    <m/>
    <x v="2"/>
    <s v="Obligación de dar suma de dinero"/>
    <d v="2023-05-09T00:00:00"/>
    <s v="09278-2023-0-1817-JR-CO-15"/>
    <s v="SENTENCIA O AUTO FINAL"/>
    <s v="NINGUNO"/>
    <s v="16/03/2026 ESCRITO: SOLICITO AUTO FINAL"/>
    <s v="NINGUNO"/>
    <d v="2026-06-26T00:00:00"/>
    <s v="SI"/>
    <s v="SE ENTREGA REQUERIMIENTO EN DOMICILIO"/>
    <s v="MEDIO"/>
    <s v="SINVOLUNTAD DE PAGO/ SIN CAPACIDAD DE PAGO"/>
    <s v="SIN NEGOCIACIÓN"/>
  </r>
  <r>
    <x v="3"/>
    <s v="NIÑO DE GUZMAN/HUAMANI,ALEXANDER"/>
    <s v="HINOSTROZA/ILDEFONSO, DIEGO ANDREE"/>
    <s v="LORENA PRADA GONZALES"/>
    <s v="ESENARRO SEGURA, ROXANA CRISOLOGA"/>
    <s v="107147101000226603"/>
    <n v="10948.46"/>
    <s v="SOLES"/>
    <d v="2023-05-29T00:00:00"/>
    <s v="147000001992"/>
    <s v="RECUPERABLE"/>
    <s v="59,543.01"/>
    <s v="LIMA ESTE"/>
    <s v="2 JUZGADO CIVIL HUAYCAN"/>
    <x v="0"/>
    <d v="2023-05-25T00:00:00"/>
    <s v="02181-2023-67-3201-JR-CI-01"/>
    <n v="894618"/>
    <x v="1"/>
    <s v="Obligación de dar suma de dinero"/>
    <d v="2024-02-22T00:00:00"/>
    <s v="02181-2023-0-3201-JR-CI-01"/>
    <s v="SENTENCIA O AUTO FINAL"/>
    <s v="50% DE ACCIONES Y DERECHOS SOBRE EL INMUEBLE DEL CUAL ES CO-PROPIETARIA LA TITULAR, ESENARRO SEGURA ROXANA CRISOLOGA, NMRO DE PARTIDA 70263577, CON DIRECCIÓN MANZANA T LOTE 12 URBANIZACIÓN CASA HUERTA VIRGEN DE LAS MERCEDES, VENTANILLA"/>
    <s v="27/05/2025RES 03: AUTO FINAL"/>
    <s v="ACCIONES Y DERECHOS"/>
    <d v="2026-06-26T00:00:00"/>
    <s v="SI"/>
    <s v="SE NOTIFICA A CLIENTE EL RECORDATORIO DE SU PAGO PUNTUAL DE SU CONVENIO."/>
    <s v="MEDIO"/>
    <s v="CON VOLUNTAD DE PAGO/ CON CAPACIDAD"/>
    <s v="CON NEGOCIACIÓN"/>
  </r>
  <r>
    <x v="3"/>
    <s v="NIÑO DE GUZMAN/HUAMANI,ALEXANDER"/>
    <s v="HINOSTROZA/ILDEFONSO, DIEGO ANDREE"/>
    <s v="LORENA PRADA GONZALES"/>
    <s v="ESPINOZA HUARACA, JHON"/>
    <s v="107147101001195960"/>
    <n v="35420.300000000003"/>
    <s v="SOLES"/>
    <d v="2025-12-29T00:00:00"/>
    <s v="CONTRATO PRIVADO DE MUTUO CON GARANTIA MOBILIARIA VEHICULA"/>
    <s v="RECUPERABLE"/>
    <s v="39,911.28"/>
    <s v="LIMA"/>
    <s v="1° JUZGADO CIVIL - COMERCIAL"/>
    <x v="1"/>
    <m/>
    <m/>
    <m/>
    <x v="2"/>
    <s v="INCAUTACIÓN DE BIEN MUEBLE AFECTO EN GARANTÍA MOBILIARIA"/>
    <d v="2025-12-29T00:00:00"/>
    <s v="30980-2025-0-1828-JR-CO-01"/>
    <s v="ADMISION"/>
    <s v="TOTALIDAD DE vehículo de placa de rodaje N.° A3H488, marca HYUNDAI, modelo TUCSON, año de modelo DOS MIL ONCE, Partida Registral N.° 51892012 del Registro de Propiedad Vehicular de la Zona Registral IX – Sede Lima."/>
    <s v="16/03/2026 ESCRITO: SOLICITO AUTO FINAL"/>
    <s v="TOTALIDAD DEL MUEBLE"/>
    <d v="2026-06-15T00:00:00"/>
    <s v="SI"/>
    <s v="SE ENTREGA REQUERIMIENTO EN DOMICILIO"/>
    <s v="MEDIO"/>
    <s v="SINVOLUNTAD DE PAGO/ SIN CAPACIDAD DE PAGO"/>
    <s v="SIN NEGOCIACIÓN"/>
  </r>
  <r>
    <x v="3"/>
    <s v="NIÑO DE GUZMAN/HUAMANI,ALEXANDER"/>
    <s v="HINOSTROZA/ILDEFONSO, DIEGO ANDREE"/>
    <s v="LORENA PRADA GONZALES"/>
    <s v="GREEN KEEPER PERU S.A.C."/>
    <s v="107147101001144350"/>
    <n v="66853.149999999994"/>
    <s v="SOLES"/>
    <d v="2025-10-30T00:00:00"/>
    <s v="TESTIMONIO"/>
    <s v="RECUPERABLE"/>
    <s v="72,949.86"/>
    <s v="LIMA"/>
    <s v="10º JUZGADO CIVIL-COMERCIAL"/>
    <x v="1"/>
    <m/>
    <m/>
    <m/>
    <x v="2"/>
    <s v="Ejecución de garantía"/>
    <d v="2025-10-30T00:00:00"/>
    <s v="26494-2025-0-1828-JR-CO-10"/>
    <s v="SENTENCIA O AUTO FINAL"/>
    <s v="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
    <s v="24/04/2026 RES 05: AUTO FINAL (REMATE DEL BIEN)"/>
    <s v="TOTALIDAD DEL INMUEBLE"/>
    <d v="2026-06-15T00:00:00"/>
    <s v="SI"/>
    <s v="SE ENTREGA REQUERIMIENTO EN DOMICILIO"/>
    <s v="MEDIO"/>
    <s v="SINVOLUNTAD DE PAGO/ SIN CAPACIDAD DE PAGO"/>
    <s v="SIN NEGOCIACIÓN"/>
  </r>
  <r>
    <x v="3"/>
    <s v="NIÑO DE GUZMAN/HUAMANI,ALEXANDER"/>
    <s v="HINOSTROZA/ILDEFONSO, DIEGO ANDREE"/>
    <s v="LORENA PRADA GONZALES"/>
    <s v="GRUPO OREJUELA S.A.C."/>
    <s v="107147101000924529"/>
    <n v="23097.08"/>
    <s v="SOLES"/>
    <d v="2025-01-07T00:00:00"/>
    <s v="147000008091"/>
    <s v="RECUPERABLE"/>
    <s v="25439.59"/>
    <s v="LIMA"/>
    <s v="2 JUZGADO DE PAZ LETRADO BARRANCO - MIRAFLORES"/>
    <x v="0"/>
    <d v="2025-01-06T00:00:00"/>
    <s v="00041-2025-94-1866-JP-CI-02"/>
    <n v="961266"/>
    <x v="1"/>
    <s v="Obligación de dar suma de dinero"/>
    <d v="2025-02-13T00:00:00"/>
    <s v="0041-2025-0-1809-JP-CI-02"/>
    <s v="ADMISION"/>
    <s v="LA TOTALIDAD DEL BIEN INMUEBLE QUE LE CORRESPONDE AL FIADOR UBICADO EN ASENTAMIENTO HUMANO PROYECTO INTEGRAL PAMPA SAN JUAN DE AMANCAES PARTE ALTA MZ L LT 12 SECTOR 14 DE JUNIO, RIMA, LIMA PARTIDA: P02191108"/>
    <s v="27/04/2026 ESCRITO: SOLICITO HABILITACION"/>
    <s v="TOTALIDAD DEL INMUEBLE"/>
    <d v="2026-06-26T00:00:00"/>
    <s v="SI"/>
    <s v="SE NOTIFICA A CLIENTE EN SU VIVIENDA"/>
    <s v="MEDIO"/>
    <s v="SINVOLUNTAD DE PAGO/ SIN CAPACIDAD DE PAGO"/>
    <s v="SIN NEGOCIACIÓN"/>
  </r>
  <r>
    <x v="3"/>
    <s v="NIÑO DE GUZMAN/HUAMANI,ALEXANDER"/>
    <s v="HINOSTROZA/ILDEFONSO, DIEGO ANDREE"/>
    <s v="LORENA PRADA GONZALES"/>
    <s v="GRUPO PLAZA RIBEYROS EMPRESA INDIVIDUAL DE RESPONSABILIDAD LIMITADA"/>
    <s v="107147101000721512"/>
    <n v="41813.370000000003"/>
    <s v="SOLES"/>
    <d v="2025-10-20T00:00:00"/>
    <s v="147000006275"/>
    <s v="RECUPERABLE"/>
    <s v="44,293.48"/>
    <s v="LIMA"/>
    <s v="2 JUZGADO DE PAZ LETRADO BARRANCO - MIRAFLORES"/>
    <x v="0"/>
    <d v="2025-10-16T00:00:00"/>
    <s v="04956-2025-15-1866-JP-CI-02"/>
    <n v="390763"/>
    <x v="1"/>
    <s v="Obligación de dar suma de dinero"/>
    <d v="2025-12-17T00:00:00"/>
    <s v="04956-2025-0-1809-JP-CI-02"/>
    <s v="ADMISION"/>
    <s v="TOTALIDAD DEL BIEN INMUEBLE QUE LE CORRESPONDEN A LOS FIADORES OBANDO ROMERO, JORGE ENRIQUE Y VALENZUELA PAZ, REGINA MIRTHA, UBICADO EN DEPARTAMENTO &quot;G&quot; AVENIDA JOSE ARNALDO MARQUEZ Nº 867, JESUS MARIA, LIMA, LIMA INSCRITO EN LA PARTIDA ELECTRONICA Nº 07065029 DEL REGISTRO DE PROPIEDAD INMUEBLE"/>
    <s v="02/07/2026 RES 02: PIDASE EL AUTO FINAL A SU  DEVIDO TIEMPO "/>
    <s v="TOTALIDAD DEL INMUEBLE"/>
    <d v="2026-06-26T00:00:00"/>
    <s v="SI"/>
    <s v="SE ENTREGA REQUERIMIENTO EN DOMICILIO"/>
    <s v="MEDIO"/>
    <s v="SINVOLUNTAD DE PAGO/ SIN CAPACIDAD DE PAGO"/>
    <s v="SIN NEGOCIACIÓN"/>
  </r>
  <r>
    <x v="3"/>
    <s v="NIÑO DE GUZMAN/HUAMANI,ALEXANDER"/>
    <s v="HINOSTROZA/ILDEFONSO, DIEGO ANDREE"/>
    <s v="LORENA PRADA GONZALES"/>
    <s v="HN EIRL"/>
    <s v="107147101000214400"/>
    <n v="38647.980000000003"/>
    <s v="SOLES"/>
    <d v="2024-03-13T00:00:00"/>
    <s v="147000001892"/>
    <s v="IRRECUPERABLE"/>
    <s v="49,579,80"/>
    <s v="LIMA"/>
    <s v="3 JUZGADO DE PAZ LETRADO LINCE SAN ISIDRO"/>
    <x v="0"/>
    <d v="2024-03-12T00:00:00"/>
    <s v="00456-2024-62-1820-JP-CI-03"/>
    <n v="943881"/>
    <x v="1"/>
    <s v="Obligación de dar suma de dinero"/>
    <d v="2024-10-04T00:00:00"/>
    <s v="00456-2024-0-1802-JP-CI-03"/>
    <s v="SENTENCIA O AUTO FINAL"/>
    <s v="LAS ACCIONES Y DERECHOS DEL FIADOR NUÑEZ MEJIA HECTOR ARMANDO, P: 46529871, UBICACION: FINCA LEVANTADA EN LT N 10 DE LA MZ 3 - R CON FRENTE A LA CALLE LOS PARACAS, AGRUPAMIENTO RESIDENCIAL SALAMANCA TERCERA ETAPA ATE, LIMA"/>
    <s v="25/05/2026 RES 05: SE ELEVA A SUPERIOR JERARQUICO JUZGADO ESPECIALIZADO EN CIVIL DE LA CORTE SUPERIOR DE JUSTICIA DE LIMA LA APELACION"/>
    <s v="ACCIONES Y DERECHOS"/>
    <d v="2026-06-26T00:00:00"/>
    <s v="SI"/>
    <s v="SE NOTIFICA A CLIENTE EN SU VIVIENDA AVAL PUERTA DE MADERA 1 PISO"/>
    <s v="BAJO"/>
    <s v="SINVOLUNTAD DE PAGO/ SIN CAPACIDAD DE PAGO"/>
    <s v="SIN NEGOCIACIÓN"/>
  </r>
  <r>
    <x v="3"/>
    <s v="NIÑO DE GUZMAN/HUAMANI,ALEXANDER"/>
    <s v="HINOSTROZA/ILDEFONSO, DIEGO ANDREE"/>
    <s v="LORENA PRADA GONZALES"/>
    <s v="INGA SALAS, SHIRLEY KARINA"/>
    <s v="107147101000804641"/>
    <n v="23471.58"/>
    <s v="SOLES"/>
    <d v="2025-03-22T00:00:00"/>
    <s v="147000007015"/>
    <s v="RECUPERABLE"/>
    <s v="24,810,39"/>
    <s v="LIMA"/>
    <s v="3° JUZGADO DE PAZ LETRADO BARRANCO Y MIRAFLORES"/>
    <x v="0"/>
    <d v="2025-03-21T00:00:00"/>
    <s v="01038-2025-18-1866-JP-CI-03"/>
    <n v="536380"/>
    <x v="1"/>
    <s v="Obligación de dar suma de dinero"/>
    <d v="2025-06-27T00:00:00"/>
    <s v="01038-2025-0-1809-JP-CI-03"/>
    <s v="ADMISION"/>
    <s v="LA TOTALIDAD DEL INMUEBLE CORRESPONDIENTE AL FIADOR HUARANGA PALACIOS ROSA ISABEL UBICADO EN POSESION INFORMAL ASOCIACION DE VIVIENDA ANEXO CANTAGALLO MZ F LT 2, IMPERIAL, CAÑETE, LIMA CON PARTIDA P17066434"/>
    <s v="27/04/2026 ESCRITO: SOLICITO HABILITACION"/>
    <s v="TOTALIDAD DEL INMUEBLE"/>
    <d v="2026-06-26T00:00:00"/>
    <s v="SI"/>
    <s v="SE NOTIFICA A CLIENTE EN SU VIVIENDA 1 PISO"/>
    <s v="MEDIO"/>
    <s v="SINVOLUNTAD DE PAGO/ SIN CAPACIDAD DE PAGO"/>
    <s v="SIN NEGOCIACIÓN"/>
  </r>
  <r>
    <x v="3"/>
    <s v="NIÑO DE GUZMAN/HUAMANI,ALEXANDER"/>
    <s v="HINOSTROZA/ILDEFONSO, DIEGO ANDREE"/>
    <s v="LORENA PRADA GONZALES"/>
    <s v="INVERSIONES SHIRLEY DD EIRL"/>
    <s v="107147101000215035"/>
    <n v="21354.89"/>
    <s v="SOLES"/>
    <d v="2025-07-15T00:00:00"/>
    <s v="147000001898"/>
    <s v="IRRECUPERABLE"/>
    <s v="45,692.19"/>
    <s v="LIMA"/>
    <s v="3° JUZGADO DE PAZ LETRADO BARRANCO Y MIRAFLORES"/>
    <x v="0"/>
    <d v="2025-07-14T00:00:00"/>
    <s v="02919-2025-82-1866-JP-CI-03"/>
    <n v="580975"/>
    <x v="1"/>
    <s v="Obligación de dar suma de dinero"/>
    <d v="2025-11-05T00:00:00"/>
    <s v="02919-2025-0-1809-JP-CI-03"/>
    <s v="ADMISION"/>
    <s v="LAS ACCIONES Y DERECHOS QUE LE CORRESPONDEN AL FIADOR DIAZ DOMINGUEZ MARIA SIRLE, DEL BIEN INMUEBLE UBICADO EN LOTE 30 DE LA MANZANA I UBICADO CON FRENTE AL JIRON MELITON CARBAJAL, URBANIZACION VALDIVIESO, ATE, LIMA, LIMA, PARTIDA ELECTRÓNICA N° 44723972"/>
    <s v="16/03/2026 ESCRITO: AUTO FINAL"/>
    <s v="ACCIONES Y DERECHOS"/>
    <d v="2026-06-26T00:00:00"/>
    <s v="SI"/>
    <s v="SE ENTREGA REQUERIMIENTO EN DOMICILIO"/>
    <s v="MEDIO"/>
    <s v="SINVOLUNTAD DE PAGO/ SIN CAPACIDAD DE PAGO"/>
    <s v="SIN NEGOCIACIÓN"/>
  </r>
  <r>
    <x v="3"/>
    <s v="NIÑO DE GUZMAN/HUAMANI,ALEXANDER"/>
    <s v="HINOSTROZA/ILDEFONSO, DIEGO ANDREE"/>
    <s v="LORENA PRADA GONZALES"/>
    <s v="MENDOZA SALCEDO, APRIL MILUSKA"/>
    <s v="107147101000229395"/>
    <n v="1151.08"/>
    <s v="SOLES"/>
    <d v="2023-05-17T00:00:00"/>
    <s v="147000002016"/>
    <s v="RECUPERABLE"/>
    <s v="17,899.06"/>
    <s v="LIMA SUR"/>
    <s v="JUZGADO DE PAZ LETRADO CHORRILLOS"/>
    <x v="0"/>
    <d v="2023-05-09T00:00:00"/>
    <s v="00345-2023-93-3005-JP-CI-01"/>
    <n v="821965"/>
    <x v="1"/>
    <s v="Obligación de dar suma de dinero"/>
    <d v="2023-12-05T00:00:00"/>
    <s v="00345-2023-0-3005-JP-CI-01"/>
    <s v="SENTENCIA O AUTO FINAL"/>
    <s v="TOTALIDAD VEHICULAR DE PLACA B3F785, P:52273448, DE MENDOZA SALCEDO APRIL MILUSKA"/>
    <s v="30/10/2024RES 06: CONSENTIDA EL AUTO FINAL"/>
    <s v="TOTALIDAD DEL MUEBLE"/>
    <d v="2026-06-26T00:00:00"/>
    <s v="SI"/>
    <s v="SE NOTIFICA A CLIENTE EL RECORDATORIO DE SU PAGO PUNTUAL DE SU CONVENIO."/>
    <s v="MEDIO"/>
    <s v="CON VOLUNTAD DE PAGO/ CON CAPACIDAD"/>
    <s v="CON NEGOCIACIÓN"/>
  </r>
  <r>
    <x v="3"/>
    <s v="NIÑO DE GUZMAN/HUAMANI,ALEXANDER"/>
    <s v="HINOSTROZA/ILDEFONSO, DIEGO ANDREE"/>
    <s v="LORENA PRADA GONZALES"/>
    <s v="NIEVES CABALLERO, JORGE ESTEBAN"/>
    <s v="107147101000607050"/>
    <n v="1127.2"/>
    <s v="SOLES"/>
    <d v="2023-10-14T00:00:00"/>
    <s v="147000005261"/>
    <s v="RECUPERABLE"/>
    <s v="19,428.05"/>
    <s v="LIMA SUR"/>
    <s v="JUZGADO DE PAZ LETRADO DE VILLA EL SALVADOR"/>
    <x v="0"/>
    <d v="2023-10-11T00:00:00"/>
    <s v="00925-2023-76-3004-JP-CI-01"/>
    <n v="794962"/>
    <x v="1"/>
    <s v="Obligación de dar suma de dinero"/>
    <d v="2024-01-19T00:00:00"/>
    <s v="00925-2023-0-3004-JP-CI-01"/>
    <s v="EJECUCION / DESIGNACION DE PERITOS"/>
    <s v="TOTALIDAD DEL INMUEBLE DE PROPIEDAD DEL FIADOR SOLIDARIO CABALLERO RAMIREZ REYNA ISABEL UBICADO EN AAHH CHAVIN DE HUANTAR MZ B LOTE 15 DISTRITO DE VILLA EL SALVADOR PE P03277971"/>
    <s v="24/03/2026 RES 05: SE DICTA QUE SE APERSONEN LOS PERITOS"/>
    <s v="TOTALIDAD DEL INMUEBLE"/>
    <d v="2026-06-26T00:00:00"/>
    <s v="SI"/>
    <s v="SE NOTIFICA A CLIENTE EL RECORDATORIO DE SU PAGO PUNTUAL DE SU CONVENIO."/>
    <s v="MEDIO"/>
    <s v="CON VOLUNTAD DE PAGO/ CON CAPACIDAD"/>
    <s v="SIN NEGOCIACIÓN"/>
  </r>
  <r>
    <x v="3"/>
    <s v="NIÑO DE GUZMAN/HUAMANI,ALEXANDER"/>
    <s v="HINOSTROZA/ILDEFONSO, DIEGO ANDREE"/>
    <s v="LORENA PRADA GONZALES"/>
    <s v="ORIHUELA BARZOLA, DAVID DANIEL"/>
    <s v="107147101000616654"/>
    <n v="4818.49"/>
    <s v="SOLES"/>
    <d v="2024-05-28T00:00:00"/>
    <s v="147000005344"/>
    <s v="RECUPERABLE"/>
    <s v="23,018,52"/>
    <s v="LIMA"/>
    <s v="3 JUZGADO DE PAZ LETRADO LINCE SAN ISIDRO"/>
    <x v="0"/>
    <d v="2024-05-27T00:00:00"/>
    <s v="00980-2024-35-1820-JP-CI-03"/>
    <n v="432593"/>
    <x v="1"/>
    <s v="Obligación de dar suma de dinero"/>
    <d v="2024-11-29T00:00:00"/>
    <s v="00980-2024-0-1802-JP-CI-03"/>
    <s v="SENTENCIA O AUTO FINAL"/>
    <s v="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
    <s v="14/01/2025RES 02: AUTO FINAL"/>
    <s v="TOTALIDAD DEL INMUEBLE"/>
    <d v="2026-06-26T00:00:00"/>
    <s v="SI"/>
    <s v="SE NOTIFICA A CLIENTE EL RECORDATORIO DE SU PAGO PUNTUAL DE SU CONVENIO. SE COMPROMETE A PAGAR SU CUO"/>
    <s v="MEDIO"/>
    <s v="CON VOLUNTAD DE PAGO/ CON CAPACIDAD"/>
    <s v="CON NEGOCIACIÓN"/>
  </r>
  <r>
    <x v="3"/>
    <s v="NIÑO DE GUZMAN/HUAMANI,ALEXANDER"/>
    <s v="HINOSTROZA/ILDEFONSO, DIEGO ANDREE"/>
    <s v="LORENA PRADA GONZALES"/>
    <s v="ORIHUELA BARZOLA, ISAIAS JOEL"/>
    <s v="107147101000714394"/>
    <n v="22022.78"/>
    <s v="SOLES"/>
    <d v="2024-03-15T00:00:00"/>
    <s v="147000006206"/>
    <s v="RECUPERABLE"/>
    <s v="24,085,20"/>
    <s v="LIMA"/>
    <s v="3 JUZGADO DE PAZ LETRADO LINCE SAN ISIDRO"/>
    <x v="0"/>
    <d v="2024-03-12T00:00:00"/>
    <s v="00457-2024-69-1820-JP-CI-03"/>
    <n v="262734"/>
    <x v="1"/>
    <s v="Obligación de dar suma de dinero"/>
    <d v="2024-09-16T00:00:00"/>
    <s v="00457-2024-0-1802-JP-CI-03"/>
    <s v="SENTENCIA O AUTO FINAL"/>
    <s v="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
    <s v="28/05/2026 ESCRITO: INICIO DE EJECUCION FORZADA"/>
    <s v="TOTALIDAD DEL INMUEBLE"/>
    <d v="2026-06-26T00:00:00"/>
    <s v="SI"/>
    <s v="SE NOTIFICA A CLIENTE EN SU VIVIENDA PORTON PLOMO"/>
    <s v="MEDIO"/>
    <s v="SINVOLUNTAD DE PAGO/ SIN CAPACIDAD DE PAGO"/>
    <s v="SIN NEGOCIACIÓN"/>
  </r>
  <r>
    <x v="3"/>
    <s v="NIÑO DE GUZMAN/HUAMANI,ALEXANDER"/>
    <s v="HINOSTROZA/ILDEFONSO, DIEGO ANDREE"/>
    <s v="LORENA PRADA GONZALES"/>
    <s v="OSCCO BULEJE, TRINIDAD MARIA"/>
    <s v="107147101000078511"/>
    <n v="13512.53"/>
    <s v="SOLES"/>
    <d v="2023-06-17T00:00:00"/>
    <s v="147000000676"/>
    <s v="RECUPERABLE"/>
    <s v="17,746.67"/>
    <s v="LIMA ESTE"/>
    <s v="2 JUZGADO DE PAZ LETRADO STA ANITA"/>
    <x v="0"/>
    <d v="2023-06-15T00:00:00"/>
    <s v="03104-2023-1-3208-JP-CI-02"/>
    <n v="396324"/>
    <x v="1"/>
    <s v="Obligación de dar suma de dinero"/>
    <d v="2024-05-03T00:00:00"/>
    <s v="03104-2023-0-3208-JP-CI-02"/>
    <s v="EN CALIFICACION"/>
    <s v="TOTALIDAD DEL INMUEBLE UBICADO EN UNIDAD INMOBILIARIA NUMERO DOS CALLE CORICANCHA MANZANA A –U LT. 6 SUB LOTE 6 A, URBANIZACION LA UNIVERSAL PRIMERA Y SEGUNDA ETAPA, DISTRITO DE SANTA ANITA, PROVINCIA Y DEPARTAMENTO DE LIMA, INMUEBLE INSCRITO EN LA PARTIDA ELECTRONICA N° 15408471"/>
    <s v="31/01/2025ESCRITO: SOLICITAMOS USO DE LA PALABRA PARA VISTA DE LA CAUSA"/>
    <s v="TOTALIDAD DEL INMUEBLE"/>
    <d v="2026-06-26T00:00:00"/>
    <s v="SI"/>
    <s v="SE NOTIFICA A CLIENTE EN SU VIVIENDA CASA 2 PISOS COLOR BLANCO SE NOTIFICA EMBARGO"/>
    <s v="MEDIO"/>
    <s v="SINVOLUNTAD DE PAGO/ SIN CAPACIDAD DE PAGO"/>
    <s v="SIN NEGOCIACIÓN"/>
  </r>
  <r>
    <x v="3"/>
    <s v="NIÑO DE GUZMAN/HUAMANI,ALEXANDER"/>
    <s v="HINOSTROZA/ILDEFONSO, DIEGO ANDREE"/>
    <s v="LORENA PRADA GONZALES"/>
    <s v="QUILCA CCENTE, ELZA"/>
    <s v="107147101000587158"/>
    <n v="27928.37"/>
    <s v="SOLES"/>
    <d v="2024-02-20T00:00:00"/>
    <s v="147000005081"/>
    <s v="RECUPERABLE"/>
    <s v="29,911.93"/>
    <s v="LIMA"/>
    <s v="3 JUZGADO DE PAZ LETRADO LINCE SAN ISIDRO"/>
    <x v="0"/>
    <d v="2024-02-06T00:00:00"/>
    <s v="00219-2024-98-1820-JP-CI-03"/>
    <n v="136094"/>
    <x v="1"/>
    <s v="Obligación de dar suma de dinero"/>
    <d v="2024-08-29T00:00:00"/>
    <s v="00219-2024-0-1802-JP-CI-03"/>
    <s v="SENTENCIA O AUTO FINAL"/>
    <s v="TOTALIDAD DE ACCIONES Y DERECHOS DEL BIEN INMUEBLE DEL FIADOR QUIROZ SILVA CIRILO, CON NMRO DE PARTIDA 11024683, UBICADO EN PARC. 655165 U.C.8_5208800_655165, PREDIO: LOS TRES HERMANOS I - SECTOR: SAN JUAN, CENTRO AUTIKI, PICHANAKI, CHANCHAMAYO, JUNIN."/>
    <s v="02/06/2026 ESCRITO: SOLICITO SE DESIGNEN PERITOS"/>
    <s v="TOTALIDAD DEL INMUEBLE"/>
    <d v="2026-06-26T00:00:00"/>
    <s v="SI"/>
    <s v="SE NOTIFICA A CLIENTE EN SU VIVIENDA 1 PISO LADRILLO SIN TARRAJEAR"/>
    <s v="MEDIO"/>
    <s v="SINVOLUNTAD DE PAGO/ SIN CAPACIDAD DE PAGO"/>
    <s v="SIN NEGOCIACIÓN"/>
  </r>
  <r>
    <x v="3"/>
    <s v="NIÑO DE GUZMAN/HUAMANI,ALEXANDER"/>
    <s v="HINOSTROZA/ILDEFONSO, DIEGO ANDREE"/>
    <s v="LORENA PRADA GONZALES"/>
    <s v="QUIROZ QUILCA, KATTY YAKI"/>
    <s v="107147101000896367"/>
    <n v="46669.63"/>
    <s v="SOLES"/>
    <d v="2024-02-13T00:00:00"/>
    <s v="147000007830"/>
    <s v="RECUPERABLE"/>
    <s v="50,106.04"/>
    <s v="LIMA"/>
    <s v="3 JUZGADO DE PAZ LETRADO LINCE SAN ISIDRO"/>
    <x v="0"/>
    <d v="2024-02-06T00:00:00"/>
    <s v="00223-2024-32-1820-JP-CI-03"/>
    <n v="507691"/>
    <x v="1"/>
    <s v="Obligación de dar suma de dinero"/>
    <d v="2024-08-29T00:00:00"/>
    <s v="00223-2024-0-1802-JP-CI-03"/>
    <s v="SENTENCIA O AUTO FINAL"/>
    <s v="TOTALIDAD DE ACCIONES Y DERECHOS DEL BIEN INMUEBLE DEL FIADOR QUIROZ SILVA CIRILO, CON NMRO DE PARTIDA 11024683, UBICADO EN PARC. 655165 U.C.8_5208800_655165, PREDIO: LOS TRES HERMANOS I - SECTOR: SAN JUAN, CENTRO AUTIKI, PICHANAKI, CHANCHAMAYO, JUNIN."/>
    <s v="02/06/2026 ESCRITO: INICIO DE EJECUCION FORZADA"/>
    <s v="TOTALIDAD DEL INMUEBLE"/>
    <d v="2026-06-26T00:00:00"/>
    <s v="SI"/>
    <s v="SE NOTIFICA A CLIENTE EN SU VIVIENDA 1 PISO"/>
    <s v="MEDIO"/>
    <s v="SINVOLUNTAD DE PAGO/ SIN CAPACIDAD DE PAGO"/>
    <s v="SIN NEGOCIACIÓN"/>
  </r>
  <r>
    <x v="3"/>
    <s v="NIÑO DE GUZMAN/HUAMANI,ALEXANDER"/>
    <s v="HINOSTROZA/ILDEFONSO, DIEGO ANDREE"/>
    <s v="LORENA PRADA GONZALES"/>
    <s v="REFULIO CUYUTUPA, EDWIN ANTONIO"/>
    <s v="107147101000572728"/>
    <n v="11471.31"/>
    <s v="SOLES"/>
    <d v="2024-01-17T00:00:00"/>
    <s v="147000007234"/>
    <s v="RECUPERABLE"/>
    <s v="12,341.13"/>
    <s v="LIMA"/>
    <s v="5 JUZGADO DE PAZ LETRADO MIXTO LA VICTORIA Y SAN LUIS"/>
    <x v="0"/>
    <d v="2024-01-12T00:00:00"/>
    <s v="00018-2024-7-1814-JP-CO-05"/>
    <n v="440479"/>
    <x v="1"/>
    <s v="Obligación de dar suma de dinero"/>
    <d v="2024-04-11T00:00:00"/>
    <s v="00018-2024-0-1814-JP-CO-05"/>
    <s v="SENTENCIA O AUTO FINAL"/>
    <s v="TOTALIDAD DEL INMUEBLE DE PROPIEDAD DEL TITULAR UBICADO EN SECCION INMOBILIARIA N°3 OFICINA, PRIMERA PISO JIRON FELIPE SANTIAGO CRESPO 635 INTERIOR 103 URB SAN LUIS DISTRITO DE SAN LUIS PE 12078471"/>
    <s v="16/03/2026 ESCRITO: SOLICITO DESIGNACION DE PERITOS"/>
    <s v="TOTALIDAD DEL INMUEBLE"/>
    <d v="2026-06-26T00:00:00"/>
    <s v="SI"/>
    <s v="SE NOTIFICA A CLIENTE EN SU VIVIENDA Y PUESTO DE VENTA DE CARNE EN MERCADO DE SAN BORJA"/>
    <s v="MEDIO"/>
    <s v="SINVOLUNTAD DE PAGO/ SIN CAPACIDAD DE PAGO"/>
    <s v="SIN NEGOCIACIÓN"/>
  </r>
  <r>
    <x v="3"/>
    <s v="NIÑO DE GUZMAN/HUAMANI,ALEXANDER"/>
    <s v="HINOSTROZA/ILDEFONSO, DIEGO ANDREE"/>
    <s v="LORENA PRADA GONZALES"/>
    <s v="SANCHEZ JARA, RUTH"/>
    <s v="107147101000766682"/>
    <n v="22584.19"/>
    <s v="SOLES"/>
    <d v="2025-09-23T00:00:00"/>
    <s v="147000006675"/>
    <s v="RECUPERABLE"/>
    <s v="24,110.07"/>
    <s v="LIMA"/>
    <s v="2 JUZGADO DE PAZ LETRADO BARRANCO - MIRAFLORES"/>
    <x v="0"/>
    <d v="2025-09-16T00:00:00"/>
    <s v="04329-2025-73-1866-JP-CI-02"/>
    <n v="783048"/>
    <x v="1"/>
    <s v="Obligación de dar suma de dinero"/>
    <d v="2025-10-31T00:00:00"/>
    <s v="04329-2025-0-1809-JP-CI-02"/>
    <s v="ADMISION"/>
    <s v="TOTALIDAD DEL BIEN INMUEBLE, QUE LE CORRESPONDE AL FIADOR SANCHEZ JARA, MARITZA UBICADO EN ASENTAMIENTO HUMANO MARGINAL ASOC.PRO-VIVIENDO SICUANI MZ.D LOTE 18, DISTRITO DE ATE, LIMA, LIMA INSCRITO EN LA PARTIDA ELECTRONICA Nº P02009698"/>
    <s v="28/05/2026 ESCRITO; AUTO FINAL"/>
    <s v="TOTALIDAD DEL INMUEBLE"/>
    <d v="2026-06-26T00:00:00"/>
    <s v="SI"/>
    <s v="SE ENTREGA REQUERIMIENTO EN DOMICILIO"/>
    <s v="MEDIO"/>
    <s v="SINVOLUNTAD DE PAGO/ SIN CAPACIDAD DE PAGO"/>
    <s v="SIN NEGOCIACIÓN"/>
  </r>
  <r>
    <x v="3"/>
    <s v="NIÑO DE GUZMAN/HUAMANI,ALEXANDER"/>
    <s v="HINOSTROZA/ILDEFONSO, DIEGO ANDREE"/>
    <s v="LORENA PRADA GONZALES"/>
    <s v="SYLCOMTEL DATA PERU S.A.C"/>
    <s v="107147101000256363"/>
    <n v="91000"/>
    <s v="SOLES"/>
    <d v="2023-05-17T00:00:00"/>
    <s v="147000002236"/>
    <s v="IRRECUPERABLE"/>
    <s v="158,525.01"/>
    <s v="LIMA"/>
    <s v="6 JUZGADO COMERCIAL DE LIMA"/>
    <x v="1"/>
    <m/>
    <m/>
    <m/>
    <x v="2"/>
    <s v="Obligación de dar suma de dinero"/>
    <d v="2023-05-09T00:00:00"/>
    <s v="09272-2023-0-1817-JR-CO-06"/>
    <s v="SENTENCIA O AUTO FINAL"/>
    <s v="NINGUNO"/>
    <s v="04/06/2026 RES 07: CONSENTIDO EL AUTO FINAL "/>
    <s v="NINGUNO"/>
    <d v="2026-06-26T00:00:00"/>
    <s v="SI"/>
    <s v="SE ENTREGA REQUERIMIENTO EN DOMICILIO"/>
    <s v="BAJO"/>
    <s v="SINVOLUNTAD DE PAGO/ SIN CAPACIDAD DE PAGO"/>
    <s v="SIN NEGOCIACIÓN"/>
  </r>
  <r>
    <x v="3"/>
    <s v="NIÑO DE GUZMAN/HUAMANI,ALEXANDER"/>
    <s v="HINOSTROZA/ILDEFONSO, DIEGO ANDREE"/>
    <s v="LORENA PRADA GONZALES"/>
    <s v="TORRES CARLOS, MIGUEL ANGEL"/>
    <s v="107147101001311572"/>
    <n v="44752.34"/>
    <s v="SOLES"/>
    <d v="2025-09-30T00:00:00"/>
    <s v="147000011508"/>
    <s v="IRRECUPERABLE"/>
    <s v="46,294.45"/>
    <s v="LIMA"/>
    <s v="3 JUZGADO DE PAZ LETRADO LINCE SAN ISIDRO"/>
    <x v="1"/>
    <m/>
    <m/>
    <m/>
    <x v="2"/>
    <s v="Obligación de dar suma de dinero"/>
    <d v="2025-09-19T00:00:00"/>
    <s v="01552-2025-0-1820-JP-CI-03"/>
    <s v="SENTENCIA O AUTO FINAL"/>
    <s v="NINGUNO"/>
    <s v="19/05/2026 RES 03: CONSENTIDO EL AUTO FINAL Y REQUIERASE PAGO"/>
    <s v="NINGUNO"/>
    <d v="2026-06-26T00:00:00"/>
    <s v="SI"/>
    <s v="SE ENTREGA REQUERIMIENTO EN DOMICILIO"/>
    <s v="BAJO"/>
    <s v="SINVOLUNTAD DE PAGO/ SIN CAPACIDAD DE PAGO"/>
    <s v="SIN NEGOCIACIÓN"/>
  </r>
  <r>
    <x v="3"/>
    <s v="NIÑO DE GUZMAN/HUAMANI,ALEXANDER"/>
    <s v="HINOSTROZA/ILDEFONSO, DIEGO ANDREE"/>
    <s v="LORENA PRADA GONZALES"/>
    <s v="VALLADARES VILLALBA, NANCY"/>
    <s v="107147101000732708"/>
    <n v="16616.849999999999"/>
    <s v="SOLES"/>
    <d v="2025-08-15T00:00:00"/>
    <s v="147000006378"/>
    <s v="RECUPERABLE"/>
    <s v="24,106.72"/>
    <s v="LIMA"/>
    <s v="2 JUZGADO DE PAZ LETRADO BARRANCO - MIRAFLORES"/>
    <x v="0"/>
    <d v="2025-08-12T00:00:00"/>
    <s v="03411-2025-76-1866-JP-CI-02"/>
    <n v="348306"/>
    <x v="1"/>
    <s v="Obligación de dar suma de dinero"/>
    <d v="2025-09-23T00:00:00"/>
    <s v="03411-2025-0-1809-JP-CI-02"/>
    <s v="ADMISION"/>
    <s v="LA TOTALIDAD DEL BIEN QUE LE CORRESPONDEN AL FIADOR GARIBAY VALLADARES ROCIO MILAGROS;DEL BIEN INMUEBLE UBICADO EN ASOCIACION DE VIVIENDA SANTA MARU MZ R LOTE 2, EL AGUSTINO, LIMA, LIMA, INSCRITO EN LA PARTIDA ELECTRÓNICA N° P02190724 DEL REGISTRO DE PROPIEDAD INMUEBLE."/>
    <s v="30/06/2026 RES 03: CONCEDEN EL CONVENIO POR EL TIEMPO DETERMINADO "/>
    <s v="TOTALIDAD DEL INMUEBLE"/>
    <d v="2026-06-26T00:00:00"/>
    <s v="SI"/>
    <s v="SE ENTREGA REQUERIMIENTO EN DOMICILIO"/>
    <s v="MEDIO"/>
    <s v="SINVOLUNTAD DE PAGO/ SIN CAPACIDAD DE PAGO"/>
    <s v="CON NEGOCIACIÓN"/>
  </r>
  <r>
    <x v="3"/>
    <s v="NIÑO DE GUZMAN/HUAMANI,ALEXANDER"/>
    <s v="HINOSTROZA/ILDEFONSO, DIEGO ANDREE"/>
    <s v="LORENA PRADA GONZALES"/>
    <s v="VELASCO BLANCO, JOSE MIGUEL"/>
    <s v="107147101001231579"/>
    <n v="45101.34"/>
    <s v="SOLES"/>
    <d v="2025-09-22T00:00:00"/>
    <s v="TESTIMONIO"/>
    <s v="RECUPERABLE"/>
    <s v="50,001.70"/>
    <s v="LIMA"/>
    <s v="3°JUZGADO CIVIL-COMERCIAL DE LIMA"/>
    <x v="1"/>
    <m/>
    <m/>
    <m/>
    <x v="2"/>
    <s v="Ejecución de garantía"/>
    <d v="2025-09-22T00:00:00"/>
    <s v="21679-2025-0-1828-JR-CO-03"/>
    <s v="ADMISION"/>
    <s v="HABILITACION URBANA LOTIZACION ALMIRANTE MIGUEL GRAU MZ. A LOTE 3, DISTRITO DE PISCO, PROVINCIA DE PISCO, ICA, CON PARTIDA ELECTRONICA Nº P22000029 DEL REGISTRO DE PROPIEDAD INMUEBLE DE ICA, HIPOTECADO A NUESTRO FAVOR POR LA SUMA ASCENDENTE A S/. 180,000.00 SOLES"/>
    <s v="13/06/2026 RES 02: ADMITIDA LA DEMANDA"/>
    <s v="TOTALIDAD DEL INMUEBLE"/>
    <d v="2026-06-26T00:00:00"/>
    <s v="SI"/>
    <s v="SE ENTREGA REQUERIMIENTO EN DOMICILIO"/>
    <s v="ALTO"/>
    <s v="SINVOLUNTAD DE PAGO/ SIN CAPACIDAD DE PAGO"/>
    <s v="SIN NEGOCIACIÓN"/>
  </r>
  <r>
    <x v="3"/>
    <s v="NIÑO DE GUZMAN/HUAMANI,ALEXANDER"/>
    <s v="HINOSTROZA/ILDEFONSO, DIEGO ANDREE"/>
    <s v="LORENA PRADA GONZALES"/>
    <s v="VERGARA SURCO, YRENE"/>
    <s v="107147101000948498"/>
    <n v="63439.24"/>
    <s v="SOLES"/>
    <d v="2025-11-05T00:00:00"/>
    <s v="TESTIMONIO"/>
    <s v="RECUPERABLE"/>
    <s v="91,439.85"/>
    <s v="LIMA"/>
    <s v="15º JUZGADO CIVIL-COMERCIAL"/>
    <x v="1"/>
    <m/>
    <m/>
    <m/>
    <x v="2"/>
    <s v="Ejecución de garantía"/>
    <d v="2025-11-05T00:00:00"/>
    <s v="26850-2025-0-1828-JR-CO-15"/>
    <s v="EN CALIFICACION"/>
    <s v="LA TOTALIDAD DEL BIEN INMUEBLE QUE LE CORRESPONDE AL OBLIGADO PRINCIPAL UBICADO EN ASENTAMIENTO HUMANO NOVENO SECTOR - OASIS DE VILLA MZ. A LOTE 20 SECTOR OASIS DE VILLA, GRUPO RESIDENCIAL 2, VILLA EL SALVADOR, LIMA, LIMA"/>
    <s v="10/04/2026 RES 01: ADMITIDA LA DEMANDA"/>
    <s v="TOTALIDAD DEL INMUEBLE"/>
    <d v="2026-06-15T00:00:00"/>
    <s v="SI"/>
    <s v="SE ENTREGA REQUERIMIENTO EN DOMICILIO"/>
    <s v="MEDIO"/>
    <s v="SINVOLUNTAD DE PAGO/ SIN CAPACIDAD DE PAGO"/>
    <s v="CON NEGOCIACIÓN"/>
  </r>
  <r>
    <x v="3"/>
    <s v="NIÑO DE GUZMAN/HUAMANI,ALEXANDER"/>
    <s v="HINOSTROZA/ILDEFONSO, DIEGO ANDREE"/>
    <s v="LORENA PRADA GONZALES"/>
    <s v="ZARAZU ZAVALETA, MIRNA ROSARIO"/>
    <s v="107147101001315819"/>
    <n v="50000"/>
    <s v="SOLES"/>
    <d v="2025-11-28T00:00:00"/>
    <s v="TESTIMONIO"/>
    <s v="RECUPERABLE"/>
    <s v="56,507.34"/>
    <s v="LIMA"/>
    <s v="13° JUZGADO CIVIL COMERCIAL"/>
    <x v="1"/>
    <m/>
    <m/>
    <m/>
    <x v="2"/>
    <s v="Ejecución de garantía"/>
    <d v="2025-11-28T00:00:00"/>
    <s v="28830-2025-0-1828-JR-CO-13"/>
    <s v="ADMISION"/>
    <s v="ACCIONES Y DERECHO QUE RECAEN EN 43.33 % QUE LE CORRESPONDE AL FIADOR MILTON GERARDO LOZADA RAMIREZ DEL BIEN INMUEBLE UBICADO EN PUEBLO JOCEN NUEVA ESPERANZA MZ. 80 SUB LOTE 13-A, DISTRITO DE VILLA MARIA DEL TRIUNFO, LIMA, LIMA INSCRITO EN LA PARTIDA N° P03347559"/>
    <s v="30/06/2026 RES 03: SE APERSONA ABOGADO DEL DEMANDANTE "/>
    <s v="ACCIONES Y DERECHOS"/>
    <d v="2026-06-15T00:00:00"/>
    <s v="SI"/>
    <s v="SE ENTREGA REQUERIMIENTO EN DOMICILIO"/>
    <s v="MEDIO"/>
    <s v="SINVOLUNTAD DE PAGO/ SIN CAPACIDAD DE PAGO"/>
    <s v="SIN NEGOCIACIÓN"/>
  </r>
  <r>
    <x v="4"/>
    <s v="NIÑO DE GUZMAN/HUAMANI,ALEXANDER"/>
    <s v="MOROTE/CONDORPUSA,MISHELL"/>
    <s v="LORENA PRADA GONZALES"/>
    <s v="ALALUNA RUIZ, CARMEN SARA"/>
    <s v="107172101000707697"/>
    <n v="19947.37"/>
    <s v="SOLES"/>
    <d v="2025-02-17T00:00:00"/>
    <s v="172000009118"/>
    <s v="RECUPERABLE"/>
    <s v="37312.4"/>
    <s v="LIMA"/>
    <s v="2 JUZGADO DE PAZ LETRADO BARRANCO - MIRAFLORES"/>
    <x v="0"/>
    <d v="2025-02-17T00:00:00"/>
    <s v="00622-2025-10-1866-JP-CI-02"/>
    <n v="947242"/>
    <x v="1"/>
    <s v="Obligación de dar suma de dinero"/>
    <d v="2025-06-11T00:00:00"/>
    <s v="00622-2025-0-1809-JP-CI-02"/>
    <s v="ADMISION"/>
    <s v="LA TOTALIDAD DEL BIEN INMUEBLE QUE LE CORRESPONDE AL TITULAR ALALUNA RUIZ CARMEN SARA UBICADO EN AA. HH REPÚBLICA DEMOCRÁTICA ALEMANA MZ. H LT. 23 - ZONA SAN JUAN DE MIRAFLORES, DISTRITO DE SAN JUAN DE MIRAFLORES, PROVINCIA Y DEPARTAMENTO DE LIMA INSCRITA EN LA PARTIDA P03119087"/>
    <s v="18/06/2026 ESCRITO: AUTO FINAL"/>
    <s v="TOTALIDAD DEL INMUEBLE"/>
    <d v="2026-06-24T00:00:00"/>
    <s v="SI"/>
    <s v="SE NOTIFICA A CLIENTE EN SU VIVIENDA CASA 1 PISO COLOR VERDE SE DEJA BAJO PUERTA."/>
    <s v="ALTO"/>
    <s v="CON VOLUNTAD DE PAGO/ CON CAPACIDAD"/>
    <s v="SIN NEGOCIACIÓN"/>
  </r>
  <r>
    <x v="4"/>
    <s v="NIÑO DE GUZMAN/HUAMANI,ALEXANDER"/>
    <s v="MOROTE/CONDORPUSA,MISHELL"/>
    <s v="LORENA PRADA GONZALES"/>
    <s v="ALMEIDA FARFAN, LILIANA"/>
    <s v="107172101000923994"/>
    <n v="19761.18"/>
    <s v="SOLES"/>
    <d v="2025-09-30T00:00:00"/>
    <s v="172000008551"/>
    <s v="RECUPERABLE"/>
    <s v="21,169.18"/>
    <s v="LIMA"/>
    <s v="2 JUZGADO DE PAZ LETRADO BARRANCO - MIRAFLORES"/>
    <x v="0"/>
    <d v="2025-09-18T00:00:00"/>
    <s v="04396-2025-98-1866-JP-CI-02"/>
    <n v="805412"/>
    <x v="1"/>
    <s v="Obligación de dar suma de dinero"/>
    <d v="2025-11-11T00:00:00"/>
    <s v="04396-2025-0-1809-JP-CI-02"/>
    <s v="ADMISION"/>
    <s v="TOTALIDAD DEL BIEN INMUEBLE QUE LE CORRESPONDE AL TITULAR ALMEIDA FARFAN, LILIANA UBICADO EN PROYECTO HABITACION URBANA PROGRAMA RESIDENCIAL SAN FELIPE DE COPACABANA MZ I LOTE 15, PUENTE PIEDRA, LIMA, LIMA INSCRITO EN LA PARTIDA ELECTRONICA Nº P01340207"/>
    <s v="26/05/2026 ESCRITO: AUTO FINAL"/>
    <s v="TOTALIDAD DEL INMUEBLE"/>
    <d v="2026-06-24T00:00:00"/>
    <s v="SI"/>
    <s v="SE ENTREGA REQUERIMIENTO EN DOMICILIO"/>
    <s v="MEDIO"/>
    <s v="SINVOLUNTAD DE PAGO/ SIN CAPACIDAD DE PAGO"/>
    <s v="SIN NEGOCIACIÓN"/>
  </r>
  <r>
    <x v="4"/>
    <s v="NIÑO DE GUZMAN/HUAMANI,ALEXANDER"/>
    <s v="MOROTE/CONDORPUSA,MISHELL"/>
    <s v="LORENA PRADA GONZALES"/>
    <s v="ANAYA VALVERDE, RICARDINA"/>
    <s v="107172101001170800"/>
    <n v="28822.83"/>
    <s v="SOLES"/>
    <d v="2025-09-19T00:00:00"/>
    <s v="172000010924"/>
    <s v="IRRECUPERABLE"/>
    <s v="28,822.82"/>
    <s v="LIMA"/>
    <s v="2 JUZGADO DE PAZ LETRADO LINCE SAN ISIDRO"/>
    <x v="1"/>
    <m/>
    <m/>
    <m/>
    <x v="2"/>
    <s v="Obligación de dar suma de dinero"/>
    <d v="2025-09-19T00:00:00"/>
    <s v="01551-2025-0-1820-JP-CI-02"/>
    <s v="SENTENCIA O AUTO FINAL"/>
    <s v="NINGUNO"/>
    <s v="16/06/2026 RES 04: CONSENTIDO EL AUTO FINAL"/>
    <s v="NINGUNO"/>
    <d v="2026-06-24T00:00:00"/>
    <s v="SI"/>
    <s v="SE ENTREGA REQUERIMIENTO EN DOMICILIO"/>
    <s v="BAJO"/>
    <s v="SINVOLUNTAD DE PAGO/ SIN CAPACIDAD DE PAGO"/>
    <s v="SIN NEGOCIACIÓN"/>
  </r>
  <r>
    <x v="4"/>
    <s v="NIÑO DE GUZMAN/HUAMANI,ALEXANDER"/>
    <s v="MOROTE/CONDORPUSA,MISHELL"/>
    <s v="LORENA PRADA GONZALES"/>
    <s v="BAYONA ROJAS, DANIELA VANESSA"/>
    <s v="107172101001139504"/>
    <n v="5858.14"/>
    <s v="SOLES"/>
    <d v="2024-08-19T00:00:00"/>
    <s v="172000010622"/>
    <s v="RECUPERABLE"/>
    <s v="9,103,46"/>
    <s v="LIMA"/>
    <s v="2 JUZGADO DE PAZ LETRADO BARRANCO - MIRAFLORES"/>
    <x v="0"/>
    <d v="2025-06-26T00:00:00"/>
    <s v="02628-2025-85-1866-JP-CI-02"/>
    <m/>
    <x v="1"/>
    <s v="Obligación de dar suma de dinero"/>
    <d v="2025-08-05T00:00:00"/>
    <s v="02628-2025-0-1809-JP-CI-02"/>
    <s v="ADMISION"/>
    <s v="LA TOTALIDAD QUE LE CORRESPONDE AL TITULAR BAYONA ROJAS DANIELA VANESSA, UBICADO EN AA.HH UNIDOS MZ B LT 3, SECTOR SAN JOSE OBRERO, VILLA MARIA DEL TRIUNFO, LIMA, LIMA INSCRITO EN LA PARTIDA P03185805"/>
    <s v="26/05/2026 ESCRITO: AUTO FINAL"/>
    <s v="TOTALIDAD DEL INMUEBLE"/>
    <d v="2026-06-24T00:00:00"/>
    <s v="SI"/>
    <s v="SE NOTIFICA A CLIENTE EN SU VIVIENDA EN JOSE GALVEZ 1 PISO PORTON VERDE TIENDA. ATIRENDE MAMÁ Y MEN"/>
    <s v="BAJO"/>
    <s v="CON VOLUNTAD DE PAGO/ CON CAPACIDAD"/>
    <s v="SIN NEGOCIACIÓN"/>
  </r>
  <r>
    <x v="4"/>
    <s v="NIÑO DE GUZMAN/HUAMANI,ALEXANDER"/>
    <s v="MOROTE/CONDORPUSA,MISHELL"/>
    <s v="LORENA PRADA GONZALES"/>
    <s v="BUSTAMANTE GUTIERREZ, ANGIE STEPHANY"/>
    <s v="107172101000927126"/>
    <n v="15230.65"/>
    <s v="SOLES"/>
    <d v="2024-04-26T00:00:00"/>
    <s v="TESTIMONIO"/>
    <s v="RECUPERABLE"/>
    <s v="23,452.73"/>
    <s v="LIMA"/>
    <s v="3°JUZGADO CIVIL-COMERCIAL DE LIMA"/>
    <x v="1"/>
    <m/>
    <m/>
    <m/>
    <x v="2"/>
    <s v="Ejecución de garantía"/>
    <d v="2025-06-19T00:00:00"/>
    <s v="13546-2025-0-1828-JR-CO-03"/>
    <s v="EN CALIFICACION"/>
    <s v="BIEN INMUEBLE UBICADO EN ASENTAMIENTO HUMANO VILLA MARIA DEL TRIUNFO MZ F17B LOTE 2A SECTOR ASOCIACION CENTRAL UNIFICADA INSCRITA EN LA PARTIDA P03252148"/>
    <s v="07/10/2025ESCRITO: PRECISO LIQUIDACION Y LA CALIDAD DE LAS PARTES ( SUBSANADO ANTES DE SER NOTIFICADOS)"/>
    <s v="TOTALIDAD DEL INMUEBLE"/>
    <d v="2026-06-24T00:00:00"/>
    <s v="SI"/>
    <s v="SE NOTIFICA A CLIENTE EN SU VIVIENDA 3 PISOS COLOR BLANCO PRIMER PISO Y RESTO SIN TARRAJEAR"/>
    <s v="ALTO"/>
    <s v="CON VOLUNTAD DE PAGO/ CON CAPACIDAD"/>
    <s v="CON NEGOCIACIÓN"/>
  </r>
  <r>
    <x v="4"/>
    <s v="NIÑO DE GUZMAN/HUAMANI,ALEXANDER"/>
    <s v="MOROTE/CONDORPUSA,MISHELL"/>
    <s v="LORENA PRADA GONZALES"/>
    <s v="CARBAJAL SULLCA, SAUDINA"/>
    <s v="107172101001054318"/>
    <n v="50000"/>
    <s v="SOLES"/>
    <d v="2025-09-18T00:00:00"/>
    <s v="172000009807"/>
    <s v="IRRECUPERABLE"/>
    <s v="50,000.00"/>
    <s v="LIMA"/>
    <s v="4º JUZGADO DE PAZ LETRADO LINCE- SAN ISIDRO"/>
    <x v="1"/>
    <m/>
    <m/>
    <m/>
    <x v="2"/>
    <s v="Obligación de dar suma de dinero"/>
    <d v="2025-09-16T00:00:00"/>
    <s v="01531-2025-0-1820-JP-CI-04"/>
    <s v="ADMISION"/>
    <s v="NINGUNO"/>
    <s v="25/03/2026 ESCRITO: SOLICITO HABILITACION"/>
    <s v="NINGUNO"/>
    <d v="2026-06-24T00:00:00"/>
    <s v="SI"/>
    <s v="SE ENTREGA REQUERIMIENTO EN DOMICILIO"/>
    <s v="BAJO"/>
    <s v="SINVOLUNTAD DE PAGO/ SIN CAPACIDAD DE PAGO"/>
    <s v="SIN NEGOCIACIÓN"/>
  </r>
  <r>
    <x v="4"/>
    <s v="NIÑO DE GUZMAN/HUAMANI,ALEXANDER"/>
    <s v="MOROTE/CONDORPUSA,MISHELL"/>
    <s v="LORENA PRADA GONZALES"/>
    <s v="CAYLLAHUA CANCHASTO, PEDRO ALEX"/>
    <s v="107172101000794158"/>
    <n v="16113.96"/>
    <s v="SOLES"/>
    <d v="2025-08-18T00:00:00"/>
    <s v="172000007318"/>
    <s v="RECUPERABLE"/>
    <s v="17,280,36"/>
    <s v="LIMA"/>
    <s v="2 JUZGADO DE PAZ LETRADO BARRANCO - MIRAFLORES"/>
    <x v="0"/>
    <d v="2025-08-12T00:00:00"/>
    <s v="03430-2025-74-1866-JP-CI-02"/>
    <n v="766750"/>
    <x v="1"/>
    <s v="Obligación de dar suma de dinero"/>
    <d v="2025-09-23T00:00:00"/>
    <s v="03430-2025-0-1809-JP-CI-02"/>
    <s v="SENTENCIA O AUTO FINAL"/>
    <s v="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
    <s v="26/05/2026 ESCRITO: CONSENTIMIENTO Y REQUERIMIENTO"/>
    <s v="TOTALIDAD DEL INMUEBLE"/>
    <d v="2026-06-24T00:00:00"/>
    <s v="SI"/>
    <s v="SE ENTREGA REQUERIMIENTO EN DOMICILIO"/>
    <s v="MEDIO"/>
    <s v="SINVOLUNTAD DE PAGO/ SIN CAPACIDAD DE PAGO"/>
    <s v="SIN NEGOCIACIÓN"/>
  </r>
  <r>
    <x v="4"/>
    <s v="NIÑO DE GUZMAN/HUAMANI,ALEXANDER"/>
    <s v="MOROTE/CONDORPUSA,MISHELL"/>
    <s v="LORENA PRADA GONZALES"/>
    <s v="CHAHUA SALAS, TATIANA ISABEL"/>
    <s v="107172101001040159"/>
    <n v="17009.78"/>
    <s v="SOLES"/>
    <d v="2024-12-31T00:00:00"/>
    <s v="172000009669"/>
    <s v="RECUPERABLE"/>
    <s v="25,463.60"/>
    <s v="LIMA SUR"/>
    <s v="JUZGADO DE PAZ LETRADO DE SAN JUAN DE MIRAFLORES"/>
    <x v="0"/>
    <d v="2024-12-23T00:00:00"/>
    <s v="01132-2024-79-3001-JP-CI-01"/>
    <m/>
    <x v="1"/>
    <s v="Obligación de dar suma de dinero"/>
    <d v="2025-11-19T00:00:00"/>
    <s v="01132-2024-0-3001-JP-CI-01"/>
    <s v="SENTENCIA O AUTO FINAL"/>
    <s v="TOTALIDAD DEL BIEN INMUEBLE QUE LE CORRESPONDEN A LOS FIADORES: PALOMINO GALVEZ, EMILIANO Y SALAS CARDENAS, JUANA UBICADO EN ASENTAMIENTO HUMANO VILLA DEL SUR, MZ. H LOTE 8, DISTRITO DE SAN JUAN DE MIRAFLORES, LIMA,LIMA INSCRITO EN LA PARTIDA Nº P03139268"/>
    <s v="13/04/2026 RES 02:AUTO FINAL"/>
    <s v="TOTALIDAD DEL INMUEBLE"/>
    <d v="2026-06-24T00:00:00"/>
    <s v="SI"/>
    <s v="SE NOTIFICA A CLIENTE EN SU VIVIENDA 3 PISOS TARRAJEADO SIN PINTAR"/>
    <s v="BAJO"/>
    <s v="CON VOLUNTAD DE PAGO/ CON CAPACIDAD"/>
    <s v="CON NEGOCIACIÓN"/>
  </r>
  <r>
    <x v="4"/>
    <s v="NIÑO DE GUZMAN/HUAMANI,ALEXANDER"/>
    <s v="MOROTE/CONDORPUSA,MISHELL"/>
    <s v="LORENA PRADA GONZALES"/>
    <s v="CRUZ CCOILLO, ARNALDO"/>
    <s v="107172101000547718"/>
    <n v="15373.64"/>
    <s v="SOLES"/>
    <d v="2024-03-02T00:00:00"/>
    <s v="172000005040"/>
    <s v="IRRECUPERABLE"/>
    <s v="27,331.11"/>
    <s v="LIMA SUR"/>
    <s v="JUZGADO DE PAZ LETRADO CIVL DE SAN JUAN DE MIRAFLORES"/>
    <x v="2"/>
    <d v="2024-02-12T00:00:00"/>
    <s v="00099-2024-0-3002-JP-CI-02"/>
    <m/>
    <x v="0"/>
    <s v="Obligación de dar suma de dinero"/>
    <d v="2025-11-06T00:00:00"/>
    <s v="00099-2024-0-3002-JP-CI-02"/>
    <s v="EN CALIFICACION"/>
    <s v="CUENTAS BANCARIAS"/>
    <s v="13/04/2026 ESCRITO: FORMALIZACION"/>
    <s v="CUENTA DE AHORRO"/>
    <d v="2026-06-24T00:00:00"/>
    <s v="SI"/>
    <s v="SE NOTIFICA A CLIENTE EN SU VIVIENDA CASA 3 PISOS SIN TARRAJEAR"/>
    <s v="BAJO"/>
    <s v="SINVOLUNTAD DE PAGO/ SIN CAPACIDAD DE PAGO"/>
    <s v="SIN NEGOCIACIÓN"/>
  </r>
  <r>
    <x v="4"/>
    <s v="NIÑO DE GUZMAN/HUAMANI,ALEXANDER"/>
    <s v="MOROTE/CONDORPUSA,MISHELL"/>
    <s v="LORENA PRADA GONZALES"/>
    <s v="CRUZ CCOILLO, ARNALDO"/>
    <s v="107172101000658098"/>
    <n v="9866.35"/>
    <s v="SOLES"/>
    <d v="2024-02-27T00:00:00"/>
    <s v="172000006042"/>
    <s v="IRRECUPERABLE"/>
    <s v="27,331.11"/>
    <s v="LIMA SUR"/>
    <s v="JUZGADO DE PAZ LETRADO CIVL DE SAN JUAN DE MIRAFLORES"/>
    <x v="2"/>
    <d v="2024-02-12T00:00:00"/>
    <s v="00099-2024-0-3002-JP-CI-02"/>
    <m/>
    <x v="0"/>
    <s v="Obligación de dar suma de dinero"/>
    <d v="2025-11-06T00:00:00"/>
    <s v="00099-2024-0-3002-JP-CI-02"/>
    <s v="EN CALIFICACION"/>
    <s v="CUENTAS BANCARIAS"/>
    <s v="06/11/2025ESCRITO : FORMALIZACION DE DEMANDA Y SOLICITO VARIACION DE EMBARGO A RETENCION POR VENTA"/>
    <s v="CUENTA DE AHORRO"/>
    <d v="2026-06-24T00:00:00"/>
    <s v="SI"/>
    <s v="SE NOTIFICA A CLIENTE EN SU VIVIENDA CASA 3 PISOS SIN TARRAJEAR"/>
    <s v="BAJO"/>
    <s v="SINVOLUNTAD DE PAGO/ SIN CAPACIDAD DE PAGO"/>
    <s v="SIN NEGOCIACIÓN"/>
  </r>
  <r>
    <x v="4"/>
    <s v="NIÑO DE GUZMAN/HUAMANI,ALEXANDER"/>
    <s v="MOROTE/CONDORPUSA,MISHELL"/>
    <s v="LORENA PRADA GONZALES"/>
    <s v="CULQUI ZEVALLOS, DANNA YAMILET"/>
    <s v="107172101000510433"/>
    <n v="31826.85"/>
    <s v="SOLES"/>
    <d v="2023-09-13T00:00:00"/>
    <s v="172000004698"/>
    <s v="IRRECUPERABLE"/>
    <s v="34,887.86"/>
    <s v="LIMA"/>
    <s v="7°JUZGADO CIVIL-COMERCIAL DE LIMA"/>
    <x v="1"/>
    <m/>
    <m/>
    <m/>
    <x v="2"/>
    <s v="Ejecución de garantía"/>
    <d v="2025-12-16T00:00:00"/>
    <s v="29910-2025-0-1828-JR-CO-07"/>
    <s v="ADMISION"/>
    <s v="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
    <s v="16/06/2026 RES 03: ADMIDO CON LA CORRECION SOLICITADA"/>
    <s v="TOTALIDAD DEL INMUEBLE"/>
    <d v="2026-06-26T00:00:00"/>
    <s v="SI"/>
    <s v="SE NOTIFICA A CLIENTE EN SU VIVIENDA 2 PISOS COLOR BLANCO"/>
    <s v="BAJO"/>
    <s v="SINVOLUNTAD DE PAGO/ SIN CAPACIDAD DE PAGO"/>
    <s v="SIN NEGOCIACIÓN"/>
  </r>
  <r>
    <x v="4"/>
    <s v="NIÑO DE GUZMAN/HUAMANI,ALEXANDER"/>
    <s v="MOROTE/CONDORPUSA,MISHELL"/>
    <s v="LORENA PRADA GONZALES"/>
    <s v="CUSIPUMA CAMPOS, NILO MARTIN"/>
    <s v="107172101001182239"/>
    <n v="18500"/>
    <s v="SOLES"/>
    <d v="2025-09-19T00:00:00"/>
    <s v="172000011026"/>
    <s v="IRRECUPERABLE"/>
    <s v="18,500.00"/>
    <s v="LIMA"/>
    <s v="4º JUZGADO DE PAZ LETRADO LINCE- SAN ISIDRO"/>
    <x v="1"/>
    <m/>
    <m/>
    <m/>
    <x v="2"/>
    <s v="Obligación de dar suma de dinero"/>
    <d v="2025-09-19T00:00:00"/>
    <s v="01550-2025-0-1820-JP-CI-04"/>
    <s v="ADMISION"/>
    <s v="NINGUNO"/>
    <s v="12/06/2026 ESCRITO: ABSUELVOTRASLADO"/>
    <s v="NINGUNO"/>
    <d v="2026-06-24T00:00:00"/>
    <s v="SI"/>
    <s v="SE ENTREGA REQUERIMIENTO EN DOMICILIO"/>
    <s v="BAJO"/>
    <s v="SINVOLUNTAD DE PAGO/ SIN CAPACIDAD DE PAGO"/>
    <s v="SIN NEGOCIACIÓN"/>
  </r>
  <r>
    <x v="4"/>
    <s v="NIÑO DE GUZMAN/HUAMANI,ALEXANDER"/>
    <s v="MOROTE/CONDORPUSA,MISHELL"/>
    <s v="LORENA PRADA GONZALES"/>
    <s v="DE LA CRUZ QUISPE, JOSE LUIS"/>
    <s v="107172101000712239"/>
    <n v="35301.089999999997"/>
    <s v="SOLES"/>
    <d v="2025-10-31T00:00:00"/>
    <s v="172000006541"/>
    <s v="RECUPERABLE"/>
    <s v="37,463.48"/>
    <s v="LIMA"/>
    <s v="2 JUZGADO DE PAZ LETRADO BARRANCO - MIRAFLORES"/>
    <x v="0"/>
    <d v="2025-10-28T00:00:00"/>
    <s v="05179-2025-77-1866-JP-CI-02"/>
    <n v="363070"/>
    <x v="1"/>
    <s v="Obligación de dar suma de dinero"/>
    <d v="2026-04-17T00:00:00"/>
    <s v="05179-2025-0-1809-JP-CI-02"/>
    <s v="ADMISION"/>
    <s v="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
    <s v="18/06/2026 RES 01: ADMITIDA LA FORMALIZACION"/>
    <s v="TOTALIDAD DEL INMUEBLE"/>
    <d v="2026-06-24T00:00:00"/>
    <s v="SI"/>
    <s v="SE ENTREGA REQUERIMIENTO EN DOMICILIO"/>
    <s v="MEDIO"/>
    <s v="SINVOLUNTAD DE PAGO/ SIN CAPACIDAD DE PAGO"/>
    <s v="SIN NEGOCIACIÓN"/>
  </r>
  <r>
    <x v="4"/>
    <s v="NIÑO DE GUZMAN/HUAMANI,ALEXANDER"/>
    <s v="MOROTE/CONDORPUSA,MISHELL"/>
    <s v="LORENA PRADA GONZALES"/>
    <s v="DIAZ QUISPE, ROSA MARGARITA"/>
    <s v="107172101001063463"/>
    <n v="27144.91"/>
    <s v="SOLES"/>
    <d v="2024-11-14T00:00:00"/>
    <s v="172000009894"/>
    <s v="RECUPERABLE"/>
    <s v="31,140.25"/>
    <s v="LIMA SUR"/>
    <s v="JUZGADO DE PAZ LETRADO CIVIL DE VILLA MARIA DEL TRIUNFO"/>
    <x v="0"/>
    <d v="2024-11-08T00:00:00"/>
    <s v="01003-2024-35-3001-JP-CI-01"/>
    <m/>
    <x v="1"/>
    <s v="Obligación de dar suma de dinero"/>
    <d v="2026-05-15T00:00:00"/>
    <s v="01003-2024-0-3001-JP-CI-01"/>
    <s v="ADMISION"/>
    <s v="TOTALIDAD DEL BIEN QUE LE CORRESPONDE AL TITULAR DIAZ QUISPE, ROSA MARGARITA UBICADO EN PROGRAMA DE VIVIENDA CONJUNTA RESIDENCIAL SANTISIMO SALVADOR DE LAS PALMAS MZ. B LOTE 22 DISTRITO DE PACHACAMAC, LIMA,LIMA INSCRITO EN LA PARTIDA P03163979"/>
    <s v="10/06/2026 RES 01: ADMITADA LA FORMALIZACION"/>
    <s v="TOTALIDAD DEL INMUEBLE"/>
    <d v="2026-06-24T00:00:00"/>
    <s v="SI"/>
    <s v="SE NOTIFICA A CLIENTE EN SU VIVIENDA CASA 1 PISO COLOR AMARILLO POR EL ULTIMO PARADERO DE LA 73 PAC"/>
    <s v="BAJO"/>
    <s v="SINVOLUNTAD DE PAGO/ SIN CAPACIDAD DE PAGO"/>
    <s v="SIN NEGOCIACIÓN"/>
  </r>
  <r>
    <x v="4"/>
    <s v="NIÑO DE GUZMAN/HUAMANI,ALEXANDER"/>
    <s v="MOROTE/CONDORPUSA,MISHELL"/>
    <s v="LORENA PRADA GONZALES"/>
    <s v="ENCARNACION ACARO, YOHANNA PATRICIA"/>
    <s v="107172101000853849"/>
    <n v="2458.12"/>
    <s v="SOLES"/>
    <d v="2024-02-27T00:00:00"/>
    <s v="172000007880"/>
    <s v="RECUPERABLE"/>
    <s v="9,475.28"/>
    <s v="LIMA SUR"/>
    <s v="3° JUZGADO DE PAZ LETRADO BARRANCO Y MIRAFLORES"/>
    <x v="2"/>
    <d v="2024-02-20T00:00:00"/>
    <s v="01648-2025-73-1866-JP-CI-03"/>
    <n v="116989"/>
    <x v="3"/>
    <s v="Obligación de dar suma de dinero"/>
    <d v="2025-06-04T00:00:00"/>
    <s v="01648-2025-0-1809-JP-CI-03"/>
    <s v="SENTENCIA O AUTO FINAL"/>
    <s v="CUENTAS BANCARIAS"/>
    <s v="26/02/2026 RES 06: CONSENTIDO AUTO FINAL"/>
    <s v="CUENTA DE AHORRO"/>
    <d v="2026-06-24T00:00:00"/>
    <s v="SI"/>
    <s v="SE NOTIFICA A CLIENTE EN SU VIVIENDA CASA 2 PISOS COLOR ROSADO Y BEICHE SE NOTIFICA BAJO PUERTA"/>
    <s v="MEDIO"/>
    <s v="SINVOLUNTAD DE PAGO/ SIN CAPACIDAD DE PAGO"/>
    <s v="SIN NEGOCIACIÓN"/>
  </r>
  <r>
    <x v="4"/>
    <s v="NIÑO DE GUZMAN/HUAMANI,ALEXANDER"/>
    <s v="MOROTE/CONDORPUSA,MISHELL"/>
    <s v="LORENA PRADA GONZALES"/>
    <s v="FLORES CABANILLAS, DILMER"/>
    <s v="107172101000450923"/>
    <n v="20032.82"/>
    <s v="SOLES"/>
    <d v="2023-07-08T00:00:00"/>
    <s v="172000004149"/>
    <s v="RECUPERABLE"/>
    <s v="21,673.02"/>
    <s v="LIMA SUR"/>
    <s v="JUZGADO DE PAZ LETRADO CIVIL DE VILLA MARIA DEL TRIUNFO"/>
    <x v="0"/>
    <d v="2023-06-26T00:00:00"/>
    <s v="00554-2023-25-3001-JP-CI-01"/>
    <n v="861053"/>
    <x v="1"/>
    <s v="Obligación de dar suma de dinero"/>
    <d v="2026-05-29T00:00:00"/>
    <s v="00554-2023-0-3001-JP-CI-01"/>
    <s v="ADMISION"/>
    <s v="TOTALIDAD DEL BIEN INMUEBLE QUE LE CORRESPONDE AL FIADOR CABANILLAS VASQUEZ, GRACIELA UBICADO EN PUEBLO JOVEN VIRGEN DE LOURDES, MZ. Ñ LOTE 19, SECTOR LOS EUCALIPTOS, VILLA MARIA DEL TRIUNFO, LIMA,LIMA INSCRITO EN LA PARTIDA P03291377"/>
    <s v="04/06/2026 RES 01: ADMISORIO"/>
    <s v="TOTALIDAD DEL INMUEBLE"/>
    <d v="2026-06-26T00:00:00"/>
    <s v="SI"/>
    <s v="SE NOTIFICA A CLIENTE EN SU VIVIENDA CASA 2 PISOS COLOR AMARILL"/>
    <s v="ALTO"/>
    <s v="SINVOLUNTAD DE PAGO/ SIN CAPACIDAD DE PAGO"/>
    <s v="SIN NEGOCIACIÓN"/>
  </r>
  <r>
    <x v="4"/>
    <s v="NIÑO DE GUZMAN/HUAMANI,ALEXANDER"/>
    <s v="MOROTE/CONDORPUSA,MISHELL"/>
    <s v="LORENA PRADA GONZALES"/>
    <s v="GUTIERREZ QUISPE, KATTY SILVIA"/>
    <s v="107172101000548622"/>
    <n v="50265.55"/>
    <s v="SOLES"/>
    <d v="2024-05-06T00:00:00"/>
    <s v="172000005049"/>
    <s v="RECUPERABLE"/>
    <s v="77,552.65"/>
    <s v="LIMA"/>
    <s v="3°JUZGADO CIVIL-COMERCIAL DE LIMA"/>
    <x v="1"/>
    <m/>
    <m/>
    <m/>
    <x v="2"/>
    <s v="Ejecución de garantía"/>
    <d v="2025-06-19T00:00:00"/>
    <s v="13546-2025-0-1828-JR-CO-03"/>
    <s v="EN CALIFICACION"/>
    <s v="BIEN INMUEBLE UBICADO EN ASENTAMIENTO HUMANO VILLA MARIA DEL TRIUNFO MZ F17B LOTE 2A SECTOR ASOCIACION CENTRAL UNIFICADA INSCRITA EN LA PARTIDA P03252148"/>
    <s v="19/06/2025PRESENTACION DE EJECUCION DE GARANTIA"/>
    <s v="TOTALIDAD DEL INMUEBLE"/>
    <d v="2026-06-24T00:00:00"/>
    <s v="SI"/>
    <s v="SE NOTIFICA A CLIENTE EN SU VIVIENDA 3 PISOS COLOR BLANCO PRIMER PISO Y RESTO SIN TARRAJEAR"/>
    <s v="ALTO"/>
    <s v="CON VOLUNTAD DE PAGO/ CON CAPACIDAD"/>
    <s v="CON NEGOCIACIÓN"/>
  </r>
  <r>
    <x v="4"/>
    <s v="NIÑO DE GUZMAN/HUAMANI,ALEXANDER"/>
    <s v="MOROTE/CONDORPUSA,MISHELL"/>
    <s v="LORENA PRADA GONZALES"/>
    <s v="HUAMAN ESTEVES, SARA MILAGROS"/>
    <s v="107172101000622560"/>
    <n v="3872.7"/>
    <s v="SOLES"/>
    <d v="2024-05-11T00:00:00"/>
    <s v="172000009362"/>
    <s v="RECUPERABLE"/>
    <s v="19,446.53"/>
    <s v="LIMA SUR"/>
    <s v="JUZGADO DE PAZ LETRADO DE VILLA EL SALVADOR"/>
    <x v="0"/>
    <d v="2024-05-08T00:00:00"/>
    <s v="00432-2024-92-3004-JP-CI-01"/>
    <m/>
    <x v="1"/>
    <s v="Obligación de dar suma de dinero"/>
    <d v="2024-08-23T00:00:00"/>
    <s v="00826-2024-0-3004-JP-CI-01"/>
    <s v="SENTENCIA O AUTO FINAL"/>
    <s v="ACCIONES Y DERECHOS DEL BIEN INMUEBLE QUE CORRESPONDE AL TITULAR HUAMAN ESTEVES, SARA MILAGROS UBICADO EN PUEBLO JOVEN EDILBERTO RAMOS MZ. B LOTE 5, GRUPO RESIDENCIAL 1, DISTRITO DE VILLA EL SALVADOR, LIMA,LIMA INSCRITO EN LA PARTIDA P03144422"/>
    <s v="15/09/2025RES 05: CONSENTIDO EL AUTO FINAL"/>
    <s v="ACCIONES Y DERECHOS"/>
    <d v="2026-06-24T00:00:00"/>
    <s v="SI"/>
    <s v="SE NOTIFICA A CLIENTE EL RECORDATORIO DE SU PAGO PUNTUAL DE SU CONVENIO."/>
    <s v="ALTO"/>
    <s v="CON VOLUNTAD DE PAGO/ CON CAPACIDAD"/>
    <s v="SIN NEGOCIACIÓN"/>
  </r>
  <r>
    <x v="4"/>
    <s v="NIÑO DE GUZMAN/HUAMANI,ALEXANDER"/>
    <s v="MOROTE/CONDORPUSA,MISHELL"/>
    <s v="LORENA PRADA GONZALES"/>
    <s v="HUARANCCA TOLEDO DE MALDONADO, VILMA LEONCIA"/>
    <s v="107172101000903770"/>
    <n v="7911.92"/>
    <s v="SOLES"/>
    <d v="2024-08-16T00:00:00"/>
    <s v="172000008356"/>
    <s v="RECUPERABLE"/>
    <s v="28,777.67"/>
    <s v="LIMA SUR"/>
    <s v="JUZGADO DE PAZ LETRADO CIVIL DE VILLA MARIA DEL TRIUNFO"/>
    <x v="1"/>
    <m/>
    <m/>
    <m/>
    <x v="2"/>
    <s v="Obligación de dar suma de dinero"/>
    <d v="2024-08-13T00:00:00"/>
    <s v="00746-2024-0-3001-JP-CI-01"/>
    <s v="SENTENCIA O AUTO FINAL"/>
    <s v="NINGUNO"/>
    <s v="26/08/2025RES 03: CONSENTIDO EL AUTO FINAL"/>
    <s v="NINGUNO"/>
    <d v="2026-06-24T00:00:00"/>
    <s v="SI"/>
    <s v="SE NOTIFICA A CLIENTE EL RECORDATORIO DE SU PAGO PUNTUAL DE SU CONVENIO."/>
    <s v="BAJO"/>
    <s v="CON VOLUNTAD DE PAGO/ CON CAPACIDAD"/>
    <s v="CON NEGOCIACIÓN"/>
  </r>
  <r>
    <x v="4"/>
    <s v="NIÑO DE GUZMAN/HUAMANI,ALEXANDER"/>
    <s v="MOROTE/CONDORPUSA,MISHELL"/>
    <s v="LORENA PRADA GONZALES"/>
    <s v="HUARANCCA TOLEDO DE MALDONADO, VILMA LEONCIA"/>
    <s v="107172101000905100"/>
    <n v="12899.44"/>
    <s v="SOLES"/>
    <d v="2024-08-16T00:00:00"/>
    <s v="TESTIMONIO"/>
    <s v="RECUPERABLE"/>
    <s v="19,852.47"/>
    <s v="LIMA SUR"/>
    <s v="13°JUZGADO CIVIL-COMERCIAL DE LIMA"/>
    <x v="1"/>
    <m/>
    <m/>
    <m/>
    <x v="2"/>
    <s v="Ejecución de garantía"/>
    <d v="2024-08-14T00:00:00"/>
    <s v="25016-2024-0-1828-JR-CO-13"/>
    <s v="EJECUCION / ETAPA DE REMATE"/>
    <s v="INMUEBLE AA.HH SANTA ROSA DE LAS CANCHITAS MZ. K ,LT. 07, DISTRITO DE VMT, PROVINCIA Y DEPARTAMENTO DE LIMA"/>
    <s v="04/06/2025RES 03: SE PONE A REMATE LA PROPIEDAD HIPOTECADA"/>
    <s v="TOTALIDAD DEL INMUEBLE"/>
    <d v="2026-06-24T00:00:00"/>
    <s v="SI"/>
    <s v="SE NOTIFICA A CLIENTE EN SU VIVIENDA CASA 3 PISOS COLOR AMARILLO"/>
    <s v="ALTO"/>
    <s v="CON VOLUNTAD DE PAGO/ CON CAPACIDAD"/>
    <s v="SIN NEGOCIACIÓN"/>
  </r>
  <r>
    <x v="4"/>
    <s v="NIÑO DE GUZMAN/HUAMANI,ALEXANDER"/>
    <s v="MOROTE/CONDORPUSA,MISHELL"/>
    <s v="LORENA PRADA GONZALES"/>
    <s v="MENDOZA HEREDIA, JUANA"/>
    <s v="107049101002103593"/>
    <n v="48161.79"/>
    <s v="SOLES"/>
    <d v="2022-12-13T00:00:00"/>
    <s v="49000020276"/>
    <s v="IRRECUPERABLE"/>
    <s v="54,199.00"/>
    <s v="LIMA SUR"/>
    <s v="JUZGADO ESPECIALIZADO CIVIL DE VMT"/>
    <x v="0"/>
    <d v="2020-10-23T00:00:00"/>
    <s v="00220-2020-43-3001-JR-CI-01"/>
    <n v="752058"/>
    <x v="0"/>
    <s v="Obligación de dar suma de dinero"/>
    <d v="2021-11-16T00:00:00"/>
    <s v="00220-2020-0-3001-JR-CI-01"/>
    <s v="SENTENCIA O AUTO FINAL"/>
    <s v="CUENTAS BANCARIAS"/>
    <s v="24/03/2026 RES 07: SOBRECARTESE A LAS PARTES"/>
    <s v="ACCIONES Y DERECHOS"/>
    <d v="2026-06-22T00:00:00"/>
    <s v="SI"/>
    <s v="SE NOTIFICA A CLIENTE EN SU VIVIENDA 2 PISOS SIN TARRAJEAR"/>
    <s v="BAJO"/>
    <s v="SINVOLUNTAD DE PAGO/ SIN CAPACIDAD DE PAGO"/>
    <s v="SIN NEGOCIACIÓN"/>
  </r>
  <r>
    <x v="4"/>
    <s v="NIÑO DE GUZMAN/HUAMANI,ALEXANDER"/>
    <s v="MOROTE/CONDORPUSA,MISHELL"/>
    <s v="LORENA PRADA GONZALES"/>
    <s v="PAJUELO SOTO, AURIA"/>
    <s v="107172101000809573"/>
    <n v="12228.41"/>
    <s v="SOLES"/>
    <d v="2024-07-06T00:00:00"/>
    <s v="TESTIMONIO"/>
    <s v="RECUPERABLE"/>
    <s v="31,727.76"/>
    <s v="LIMA SUR"/>
    <s v="9° JUZGADO CIVIL COMERCIAL LIMA"/>
    <x v="1"/>
    <m/>
    <m/>
    <m/>
    <x v="2"/>
    <s v="Ejecución de garantía"/>
    <d v="2024-08-29T00:00:00"/>
    <s v="27058-2024-0-1828-JR-CO-09"/>
    <s v="SENTENCIA O AUTO FINAL"/>
    <s v="HIPOTECA TOTALIDAD DEL BIEN INMUEBLE DEL OBLIGADO PRINCIPAL PAJUELO SOTO, AURIA UBICADO EN ASENTAMIENTO HUMANO VILLA MARIA DEL TRIUNFO MZ. I22G, LOTE 2, SECTOR ASOCIACION CENTRAL UNIFICADA, VILLA MARIA DEL TRIUNFO, LIMA, LIMA, INSCRITO EN LA PARTIDA ELECTRONICA Nº P03217567"/>
    <s v="10/04/2026 RES 04: CONSENTIDO EL AUTO FINAL"/>
    <s v="TOTALIDAD DEL INMUEBLE"/>
    <d v="2026-06-24T00:00:00"/>
    <s v="SI"/>
    <s v="SE NOTIFICA A CLIENTE EN SU VIVIENDA 2 PISOS SIN TARRAJEAS"/>
    <s v="ALTO"/>
    <s v="CON VOLUNTAD DE PAGO/ CON CAPACIDAD"/>
    <s v="CON NEGOCIACIÓN"/>
  </r>
  <r>
    <x v="4"/>
    <s v="NIÑO DE GUZMAN/HUAMANI,ALEXANDER"/>
    <s v="MOROTE/CONDORPUSA,MISHELL"/>
    <s v="LORENA PRADA GONZALES"/>
    <s v="PALOMINO SALAS, HANZ ROMER"/>
    <s v="107172101001052992"/>
    <n v="28495.98"/>
    <s v="SOLES"/>
    <d v="2025-07-02T00:00:00"/>
    <s v="172000009795"/>
    <s v="RECUPERABLE"/>
    <s v="30,628.95"/>
    <s v="LIMA"/>
    <s v="2 JUZGADO DE PAZ LETRADO BARRANCO - MIRAFLORES"/>
    <x v="0"/>
    <d v="2025-06-26T00:00:00"/>
    <s v="02598-2025-27-1866-JP-CI-02"/>
    <n v="549692"/>
    <x v="1"/>
    <s v="Obligación de dar suma de dinero"/>
    <d v="2025-12-17T00:00:00"/>
    <s v="02598-2025-0-1809-JP-CI-02"/>
    <s v="ADMISION"/>
    <s v="LA TOTALIDAD DEL BIEN QUE LE CORRESPONDE A LOS FIADORES PALOMINO GALVEZ EMILIANO Y SALAS CARDENAS JUANA, DEL BIEN INMUEBLE UBICADO EN ASENTAMIENTO HUMANO VILLA DEL SUR MZ H LOTE 8, SAN JUAN DE MIRAFLORES, LIMA, LIMA; PARTIDA ELECTRÓNICA N° P03139268"/>
    <s v="17/12/2025 ESCRITO: PRESENTACION DE LA FORMALIZACION DE LA DDA"/>
    <s v="TOTALIDAD DEL INMUEBLE"/>
    <d v="2026-06-24T00:00:00"/>
    <s v="SI"/>
    <s v="SE ENTREGA REQUERIMIENTO EN DOMICILIO"/>
    <s v="MEDIO"/>
    <s v="SINVOLUNTAD DE PAGO/ SIN CAPACIDAD DE PAGO"/>
    <s v="SIN NEGOCIACIÓN"/>
  </r>
  <r>
    <x v="4"/>
    <s v="NIÑO DE GUZMAN/HUAMANI,ALEXANDER"/>
    <s v="MOROTE/CONDORPUSA,MISHELL"/>
    <s v="LORENA PRADA GONZALES"/>
    <s v="PEREZ SANANCINO, JUAN CARLOS"/>
    <s v="107172101000064196"/>
    <n v="12293.85"/>
    <s v="SOLES"/>
    <d v="2024-04-24T00:00:00"/>
    <s v="172000000590"/>
    <s v="IRRECUPERABLE"/>
    <s v="23,000.00"/>
    <s v="LIMA SUR"/>
    <s v="JUZGADO DE PAZ LETRADO CIVIL DE VILLA MARIA DEL TRIUNFO"/>
    <x v="0"/>
    <d v="2024-04-22T00:00:00"/>
    <s v="00335-2024-58-3001-JP-CI-01"/>
    <n v="780092"/>
    <x v="1"/>
    <s v="Obligación de dar suma de dinero"/>
    <d v="2025-02-10T00:00:00"/>
    <s v="00335-2024-0-3001-JP-CI-01"/>
    <s v="SENTENCIA O AUTO FINAL"/>
    <s v="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
    <s v="11/11/2025 ESCRITO; CONSENTIMIENTO Y REQUERIMIENTO"/>
    <s v="ACCIONES Y DERECHOS"/>
    <d v="2026-06-26T00:00:00"/>
    <s v="SI"/>
    <s v="SE NOTIFICA A CLIENTE EN SU VIVIENDA 1 PISO"/>
    <s v="MEDIO"/>
    <s v="SINVOLUNTAD DE PAGO/ SIN CAPACIDAD DE PAGO"/>
    <s v="SIN NEGOCIACIÓN"/>
  </r>
  <r>
    <x v="4"/>
    <s v="NIÑO DE GUZMAN/HUAMANI,ALEXANDER"/>
    <s v="MOROTE/CONDORPUSA,MISHELL"/>
    <s v="LORENA PRADA GONZALES"/>
    <s v="PIZARRO FEBRES, ELMORA JESUS"/>
    <s v="107172101000749269"/>
    <n v="71361.88"/>
    <s v="SOLES"/>
    <d v="2023-10-11T00:00:00"/>
    <s v="172000006894"/>
    <s v="RECUPERABLE"/>
    <s v="76,086.54"/>
    <s v="LIMA SUR"/>
    <s v="JUZGADO ESPECIALIZADO CIVIL DE VILLA MARIA DEL TRIUNFO"/>
    <x v="0"/>
    <d v="2023-10-10T00:00:00"/>
    <s v="00715-2023-34-3001-JR-CI-01"/>
    <n v="465795"/>
    <x v="1"/>
    <s v="Obligación de dar suma de dinero"/>
    <d v="2024-01-17T00:00:00"/>
    <s v="00715-2023-0-3001-JR-CI-01"/>
    <s v="SENTENCIA O AUTO FINAL"/>
    <s v="TOTALIDAD DEL BIEN INMUEBLE QUE LE CORRESPONDE AL TITULAR PIZARRO FEBRES, ELMORA JESUS UBICADO EN PUEBLO JOVEN URBANIZACION VILLA JARDIN, MZ. F LOTE 10, ZONA SEGUNDA Y TERCERA, DISTRITO DE VILLA MARIA DEL TRIUNFO,LIMA,LIMA INSCRITO EN LA PARTIDA P03107955"/>
    <s v="21/05/2026 ESCRITO: SOLICITO INICIO DE EJECUCION FORZADA Y DESIGNACION DE PERITOS"/>
    <s v="TOTALIDAD DEL INMUEBLE"/>
    <d v="2026-06-24T00:00:00"/>
    <s v="SI"/>
    <s v="SE NOTIFICA A CLIENTE EN SU VIVIENDA PRECARIA 1 PISO COLOR AZUL PORTON DE MADERA."/>
    <s v="ALTO"/>
    <s v="SINVOLUNTAD DE PAGO/ SIN CAPACIDAD DE PAGO"/>
    <s v="SIN NEGOCIACIÓN"/>
  </r>
  <r>
    <x v="4"/>
    <s v="NIÑO DE GUZMAN/HUAMANI,ALEXANDER"/>
    <s v="MOROTE/CONDORPUSA,MISHELL"/>
    <s v="LORENA PRADA GONZALES"/>
    <s v="QUISPE DAMIAN, DIANA EDITH"/>
    <s v="107172101001025536"/>
    <n v="62000"/>
    <s v="SOLES"/>
    <d v="2025-09-18T00:00:00"/>
    <s v="172000009529"/>
    <s v="IRRECUPERABLE"/>
    <s v="62,000.00"/>
    <s v="LIMA"/>
    <s v="12°JUZGADO CIVIL-COMERCIAL DE LIMA"/>
    <x v="0"/>
    <d v="2026-03-23T00:00:00"/>
    <s v="06877-2026-99-1828-JR-CO-12"/>
    <n v="508790"/>
    <x v="1"/>
    <s v="Obligación de dar suma de dinero"/>
    <d v="2026-05-13T00:00:00"/>
    <s v="06877-2026-0-1817-JR-CO-12"/>
    <s v="ADMISION"/>
    <s v="ACCIONES Y DERECHOS QUE LE CORRESPONDEN AL FIADOR QUISPE CUBA SERAFIN, DEL BIEN INMUEBLE UBICADO EN PUEBLO JOVEN SAN FANCISCO DE LA TABALADA DE LURIN MZ 8YA LOTE 12, SECTOR TERCERO, VILLA MARIA DEL TRIUNFO,LIMA,LIMA INSCRITO EN LA PARTIDA ELECTRONICA Nº P03157854"/>
    <s v="27/05/2026 RES 01: ADMITIDA LA FORMALIZACION"/>
    <s v="ACCIONES Y DERECHOS"/>
    <d v="2026-06-24T00:00:00"/>
    <s v="SI"/>
    <s v="SE ENTREGA REQUERIMIENTO EN DOMICILIO"/>
    <s v="MEDIO"/>
    <s v="SINVOLUNTAD DE PAGO/ SIN CAPACIDAD DE PAGO"/>
    <s v="SIN NEGOCIACIÓN"/>
  </r>
  <r>
    <x v="4"/>
    <s v="NIÑO DE GUZMAN/HUAMANI,ALEXANDER"/>
    <s v="MOROTE/CONDORPUSA,MISHELL"/>
    <s v="LORENA PRADA GONZALES"/>
    <s v="QUISPE DAMIAN, ERIKA SANDRA"/>
    <s v="107172101001041857"/>
    <n v="31068.82"/>
    <s v="SOLES"/>
    <d v="2024-07-02T00:00:00"/>
    <s v="172000009687"/>
    <s v="RECUPERABLE"/>
    <s v="32,196.80"/>
    <s v="LIMA SUR"/>
    <s v="JUZGADO DE PAZ LETRADO CIVIL DE VILLA MARIA DEL TRIUNFO"/>
    <x v="0"/>
    <d v="2024-06-28T00:00:00"/>
    <s v="00602-2024-87-3001-JP-CI-01"/>
    <n v="733815"/>
    <x v="1"/>
    <s v="Obligación de dar suma de dinero"/>
    <d v="2026-07-03T00:00:00"/>
    <s v="00602-2024-0-3001-JP-CI-01"/>
    <s v="EN CALIFICACION"/>
    <s v="TOTALIDAD QUE LE CORRESPONDE A LOS FIADORES SOBRE EL BIEN UBICADO EN PUEBLO JOVEN SAN FRANCISCO DE LA TABLADA DE LURIN MZ 8YA LOTE 12 SECTOR TERCERO, VILLA MARIA DEL TRIUNFO, LIMA PARTIDA P03157854"/>
    <s v="03/07/2026 ESCRITO: FORMALIZACION"/>
    <s v="TOTALIDAD DEL INMUEBLE"/>
    <d v="2026-06-24T00:00:00"/>
    <s v="SI"/>
    <s v="SE NOTIFICA A CLIENTE EN SU VIVIENDA CASA DE DOS PISOS COLOR SIN TARRAJEAR SE DEJA CARTA A CUÑADO"/>
    <s v="BAJO"/>
    <s v="SINVOLUNTAD DE PAGO/ SIN CAPACIDAD DE PAGO"/>
    <s v="SIN NEGOCIACIÓN"/>
  </r>
  <r>
    <x v="4"/>
    <s v="NIÑO DE GUZMAN/HUAMANI,ALEXANDER"/>
    <s v="MOROTE/CONDORPUSA,MISHELL"/>
    <s v="LORENA PRADA GONZALES"/>
    <s v="RUIZ SANCHEZ, LEITHER JHUL"/>
    <s v="107172101000097849"/>
    <n v="552.77"/>
    <s v="SOLES"/>
    <d v="2026-02-17T00:00:00"/>
    <s v="172000006259"/>
    <s v="RECUPERABLE"/>
    <s v="31,201.83"/>
    <s v="LIMA"/>
    <s v="12°JUZGADO CIVIL-COMERCIAL DE LIMA"/>
    <x v="1"/>
    <m/>
    <m/>
    <m/>
    <x v="2"/>
    <s v="Ejecución de garantía"/>
    <d v="2026-02-17T00:00:00"/>
    <s v="04693-2026-0-1828-JR-CO-12"/>
    <s v="ADMISION"/>
    <s v="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
    <s v="18/06/2026 ESCRITO: ABSUELVO TRASLADO"/>
    <s v="TOTALIDAD DEL INMUEBLE"/>
    <d v="2026-06-26T00:00:00"/>
    <s v="SI"/>
    <s v="SE NOTIFICA A CLIENTE EL RECORDATORIO DE SU PAGO PUNTUAL DE SU CONVENIO."/>
    <s v="ALTO"/>
    <s v="SINVOLUNTAD DE PAGO/ SIN CAPACIDAD DE PAGO"/>
    <s v="CON NEGOCIACIÓN"/>
  </r>
  <r>
    <x v="4"/>
    <s v="NIÑO DE GUZMAN/HUAMANI,ALEXANDER"/>
    <s v="MOROTE/CONDORPUSA,MISHELL"/>
    <s v="LORENA PRADA GONZALES"/>
    <s v="SOTOMAYOR DURAND, ELEODORO SERAFIN"/>
    <s v="107172101001172602"/>
    <n v="17154.650000000001"/>
    <s v="SOLES"/>
    <d v="2025-05-15T00:00:00"/>
    <s v="172000010942"/>
    <s v="RECUPERABLE"/>
    <s v="27,223.11"/>
    <s v="LIMA"/>
    <s v="2 JUZGADO DE PAZ LETRADO BARRANCO - MIRAFLORES"/>
    <x v="0"/>
    <d v="2025-05-13T00:00:00"/>
    <s v="01737-2025-23-1866-JP-CI-02"/>
    <n v="698886"/>
    <x v="1"/>
    <s v="Obligación de dar suma de dinero"/>
    <d v="2025-06-11T00:00:00"/>
    <s v="01737-2025-0-1809-JP-CI-02"/>
    <s v="SENTENCIA O AUTO FINAL"/>
    <s v="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
    <s v="04/11/2025RES.02: AUTO FINAL"/>
    <s v="TOTALIDAD DEL INMUEBLE"/>
    <d v="2026-06-24T00:00:00"/>
    <s v="SI"/>
    <s v="SE NOTIFICA A CLIENTE EN SU VIVIENDA CASA 3 PISOS COLOR OCRE ATIENDE TITULAR"/>
    <s v="MEDIO"/>
    <s v="CON VOLUNTAD DE PAGO/ CON CAPACIDAD"/>
    <s v="SIN NEGOCIACIÓN"/>
  </r>
  <r>
    <x v="4"/>
    <s v="NIÑO DE GUZMAN/HUAMANI,ALEXANDER"/>
    <s v="MOROTE/CONDORPUSA,MISHELL"/>
    <s v="LORENA PRADA GONZALES"/>
    <s v="VALDERRAMA PEREZ, ORLANDO GUSTAVO"/>
    <s v="107172101000856604"/>
    <n v="17193.45"/>
    <s v="SOLES"/>
    <d v="2025-02-17T00:00:00"/>
    <s v="172000007906"/>
    <s v="RECUPERABLE"/>
    <s v="26,296.84"/>
    <s v="LIMA SUR"/>
    <s v="JUZGADO DE PAZ LETRADO CIVIL DE VILLA MARIA DEL TRIUNFO"/>
    <x v="0"/>
    <d v="2025-02-07T00:00:00"/>
    <s v="00106-2025-17-3001-JP-CI-01"/>
    <n v="205351"/>
    <x v="1"/>
    <s v="Obligación de dar suma de dinero"/>
    <d v="2026-01-13T00:00:00"/>
    <s v="00106-2025-0-3001-JP-CI-01"/>
    <s v="SENTENCIA O AUTO FINAL"/>
    <s v="TOTALIDAD DEL BIEN INMUEBLE QUE LE CORRESPONDE AL FIADOR ALATRISTA LUCIO, JUDITH ROXANA UBICADO EN PUEBLO JOVEN NUEVA ESPERANZA MZ. 65 SUB-LOTE 4A, VILLA MARIA DEL TRIUNFO, LIMA, LIMA INSCRITO EN LA PARTIDA P03330730"/>
    <s v="21/05/2026 RES 3 AUTO FINAL"/>
    <s v="TOTALIDAD DEL INMUEBLE"/>
    <d v="2026-06-24T00:00:00"/>
    <s v="SI"/>
    <s v="SE NOTIFICA A CLIENTE EN SU VIVIENDA 4 PISOS COLOR BLANCO CON PORTON PLOMO"/>
    <s v="ALTO"/>
    <s v="SINVOLUNTAD DE PAGO/ SIN CAPACIDAD DE PAGO"/>
    <s v="CON NEGOCIACIÓN"/>
  </r>
  <r>
    <x v="5"/>
    <s v="NIÑO DE GUZMAN/HUAMANI,ALEXANDER"/>
    <s v="MOROTE/CONDORPUSA,MISHELL"/>
    <s v="LORENA PRADA GONZALES"/>
    <s v="BRAVO ARIAS, MARITZA GRACIELA"/>
    <s v="107178101000494727"/>
    <n v="4862.8500000000004"/>
    <s v="SOLES"/>
    <d v="2024-07-20T00:00:00"/>
    <s v="178000007270"/>
    <s v="RECUPERABLE"/>
    <s v="9,480.44"/>
    <s v="LIMA SUR"/>
    <s v="JUZGADO DE PAZ LETRADO CIVIL DE VILLA MARIA DEL TRIUNFO"/>
    <x v="0"/>
    <d v="2024-07-18T00:00:00"/>
    <s v="00660-2024-82-3001-JP-CI-01"/>
    <n v="646989"/>
    <x v="1"/>
    <s v="Obligación de dar suma de dinero"/>
    <d v="2026-01-30T00:00:00"/>
    <s v="00660-2024-0-3001-JP-CI-01"/>
    <s v="ADMISION"/>
    <s v="TOTALIDAD DEL BIEN INMUEBLE QUE CORRESPONDE A LA TITULAR BRAVO ARIAS, MARITZA GRACIELA UBICADO EN URBANIZACION SAN JUAN PARCELA C, SUB PARCELA C-1, MZ. G, LT. 24, DISTRITO DE SAN JUAN DE MIRAFLORES, INSCRITO EN LA PARTIDA P03177730"/>
    <s v="24/06/2026 RES 01: ADMITIDO FORMALIZACION"/>
    <s v="TOTALIDAD DEL INMUEBLE"/>
    <d v="2026-06-24T00:00:00"/>
    <s v="SI"/>
    <s v="SE NOTIFICA A CLIENTE EN SU VIVIENDA 3 PISOS COLOR AMARILLO"/>
    <s v="BAJO"/>
    <s v="SINVOLUNTAD DE PAGO/ SIN CAPACIDAD DE PAGO"/>
    <s v="CON NEGOCIACIÓN"/>
  </r>
  <r>
    <x v="5"/>
    <s v="NIÑO DE GUZMAN/HUAMANI,ALEXANDER"/>
    <s v="MOROTE/CONDORPUSA,MISHELL"/>
    <s v="LORENA PRADA GONZALES"/>
    <s v="BRITO PEREZ, MARIA DE JESUS"/>
    <s v="107178101000636236"/>
    <n v="5440.82"/>
    <s v="SOLES"/>
    <d v="2024-05-28T00:00:00"/>
    <s v="178000007850"/>
    <s v="RECUPERABLE"/>
    <s v="15,860.43"/>
    <s v="LIMA SUR"/>
    <s v="JUZGADO DE PAZ LETRADO CIVL DE SAN JUAN DE MIRAFLORES"/>
    <x v="0"/>
    <d v="2024-05-16T00:00:00"/>
    <s v="00392-2024-1-3002-JP-CI-02"/>
    <n v="599184"/>
    <x v="1"/>
    <s v="Obligación de dar suma de dinero"/>
    <d v="2025-02-28T00:00:00"/>
    <s v="00392-2024-0-3002-JP-CI-02"/>
    <s v="SENTENCIA O AUTO FINAL"/>
    <s v="TOTALIDAD DEL BIEN INMUEBLE QUE LE CORRESPONDE A LA TITULAR BRITO PEREZ, MARIA DE JESUS UBICADO EN PUEBLO JOVEN REPUBLICA DEMOCRATICA ALEMANA, MZ. F, LOTE 17, DISTRITO DE SAN JUAN DE MIRAFLORES, LIMA, LIMA, INSCRITO EN LA PARTIDA P03109667"/>
    <s v="21/04/2025APERSONAMIENTO: SOLICITO SE DE CONSENTIMIENTO Y REQUERIMIENTO DEL PAGO CORRESPONDIENTE"/>
    <s v="TOTALIDAD DEL INMUEBLE"/>
    <d v="2026-06-24T00:00:00"/>
    <s v="SI"/>
    <s v="SE NOTIFICA A CLIENTE EL RECORDATORIO DE SU PAGO PUNTUAL DE SU CONVENIO."/>
    <s v="MEDIO"/>
    <s v="CON VOLUNTAD DE PAGO/ CON CAPACIDAD"/>
    <s v="CON NEGOCIACIÓN"/>
  </r>
  <r>
    <x v="5"/>
    <s v="NIÑO DE GUZMAN/HUAMANI,ALEXANDER"/>
    <s v="MOROTE/CONDORPUSA,MISHELL"/>
    <s v="LORENA PRADA GONZALES"/>
    <s v="CALDERON ANGELES, SANDRA BEATRIZ"/>
    <s v="107178101000993442"/>
    <n v="19780.04"/>
    <s v="SOLES"/>
    <d v="2025-08-04T00:00:00"/>
    <s v="178000009419"/>
    <s v="RECUPERABLE"/>
    <s v="28,564,51"/>
    <s v="LIMA"/>
    <s v="4º JUZGADO DE PAZ LETRADO LINCE- SAN ISIDRO"/>
    <x v="1"/>
    <m/>
    <m/>
    <m/>
    <x v="2"/>
    <s v="Obligación de dar suma de dinero"/>
    <d v="2025-07-31T00:00:00"/>
    <s v="01216-2025-0-1820-JP-CI-04"/>
    <s v="SENTENCIA O AUTO FINAL"/>
    <s v="NINGUNO"/>
    <s v="26/09/2025RES. 02: AUTO FINAL"/>
    <s v="NINGUNO"/>
    <d v="2026-06-24T00:00:00"/>
    <s v="SI"/>
    <s v="SE ENTREGA REQUERIMIENTO EN DOMICILIO"/>
    <s v="BAJO"/>
    <s v="CON VOLUNTAD DE PAGO/ CON CAPACIDAD"/>
    <s v="CON NEGOCIACIÓN"/>
  </r>
  <r>
    <x v="5"/>
    <s v="NIÑO DE GUZMAN/HUAMANI,ALEXANDER"/>
    <s v="MOROTE/CONDORPUSA,MISHELL"/>
    <s v="LORENA PRADA GONZALES"/>
    <s v="CASTILLA LARICO, PEDRO ABEL"/>
    <s v="107178101000566884"/>
    <n v="38895.629999999997"/>
    <s v="SOLES"/>
    <d v="2024-05-15T00:00:00"/>
    <s v="178000005394"/>
    <s v="RECUPERABLE"/>
    <s v="41,066.46"/>
    <s v="LIMA SUR"/>
    <s v="JUZGADO DE PAZ LETRADO CIVL DE SAN JUAN DE MIRAFLORES"/>
    <x v="0"/>
    <d v="2024-05-08T00:00:00"/>
    <s v="00359-2024-61-3002-JP-CI-02"/>
    <n v="93898"/>
    <x v="1"/>
    <s v="Obligación de dar suma de dinero"/>
    <d v="2026-01-13T00:00:00"/>
    <s v="00359-2024-0-3002-JP-CI-02"/>
    <s v="SENTENCIA O AUTO FINAL"/>
    <s v="TOTALIDAD DEL BIEN INMUEBLE QUE LE CORRESPONDEN A LOS FIADORES: CASTILLA MENDOZA, JUAN Y LARICO HUANCA, ZOILA HORTENCIA UBICADO EN PUEBLO JOVEN PAMPLONA ALTA, MZ. 6, LOTE 12, SANTIAGO ANTUNEZ DE MAYOLO, DISTRITO DE SAN JUAN DE MIRAFLORES, LIMA, LIMA INSCRITO EN LA PARTIDA P03066401"/>
    <s v="13/05/2026 RES 02: AUTO FINAL"/>
    <s v="TOTALIDAD DEL INMUEBLE"/>
    <d v="2026-06-24T00:00:00"/>
    <s v="SI"/>
    <s v="SE NOTIFICA A CLIENTE EN SU VIVIENDA CASA 1 PISO COLOR BLANCO"/>
    <s v="MEDIO"/>
    <s v="SINVOLUNTAD DE PAGO/ SIN CAPACIDAD DE PAGO"/>
    <s v="SIN NEGOCIACIÓN"/>
  </r>
  <r>
    <x v="5"/>
    <s v="NIÑO DE GUZMAN/HUAMANI,ALEXANDER"/>
    <s v="MOROTE/CONDORPUSA,MISHELL"/>
    <s v="LORENA PRADA GONZALES"/>
    <s v="CHATTA YANQUI, BENIGNO"/>
    <s v="107178101000644156"/>
    <n v="476.94"/>
    <s v="SOLES"/>
    <d v="2025-04-21T00:00:00"/>
    <s v="178000006121"/>
    <s v="RECUPERABLE"/>
    <s v="18,952,99"/>
    <s v="LIMA"/>
    <s v="2 JUZGADO DE PAZ LETRADO BARRANCO - MIRAFLORES"/>
    <x v="0"/>
    <d v="2025-04-11T00:00:00"/>
    <s v="01311-2025-92-1866-JP-CI-02"/>
    <n v="358290"/>
    <x v="1"/>
    <s v="Obligación de dar suma de dinero"/>
    <d v="2025-06-30T00:00:00"/>
    <s v="01311-2025-0-1809-JP-CI-02"/>
    <s v="SENTENCIA O AUTO FINAL"/>
    <s v="LA TOTALIDAD DEL BIEN INMUEBLE QUE LE CORRESPONDE AL TITULAR CHATTA YANQUI, BENIGNO ,UBICADO EN PUEBLO JOVEN INDOAMERICA MZ F LT 18, SAN JUAUN DE MIRAFLORES, LIMA, LIMA. INSCRITO EN LA PARTIDA P03129824"/>
    <s v="04/11/2025RES. 02: AUTO FINAL"/>
    <s v="TOTALIDAD DEL INMUEBLE"/>
    <d v="2026-06-24T00:00:00"/>
    <s v="SI"/>
    <s v="SE NOTIFICA A CLIENTE EN SU VIVIENDA 3 PISOS COLOR NARANJA"/>
    <s v="MEDIO"/>
    <s v="CON VOLUNTAD DE PAGO/ CON CAPACIDAD"/>
    <s v="SIN NEGOCIACIÓN"/>
  </r>
  <r>
    <x v="5"/>
    <s v="NIÑO DE GUZMAN/HUAMANI,ALEXANDER"/>
    <s v="MOROTE/CONDORPUSA,MISHELL"/>
    <s v="LORENA PRADA GONZALES"/>
    <s v="FINQUIN MENDEZ, MARGOT JANET"/>
    <s v="107178101000932300"/>
    <n v="10777.29"/>
    <s v="SOLES"/>
    <d v="2025-09-15T00:00:00"/>
    <s v="178000008832"/>
    <s v="RECUPERABLE"/>
    <s v="23,032,32"/>
    <s v="LIMA"/>
    <s v="3° JUZGADO DE PAZ LETRADO BARRANCO Y MIRAFLORES"/>
    <x v="0"/>
    <d v="2025-09-10T00:00:00"/>
    <s v="04184-2025-60-1866-JP-CI-03"/>
    <n v="829639"/>
    <x v="1"/>
    <s v="Obligación de dar suma de dinero"/>
    <d v="2025-10-31T00:00:00"/>
    <s v="04184-2025-0-1809-JP-CI-03"/>
    <s v="ADMISION"/>
    <s v="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
    <s v="16/03/2026 ESCRITO; SOLICITO AUTO FINAL"/>
    <s v="TOTALIDAD DEL INMUEBLE"/>
    <d v="2026-06-24T00:00:00"/>
    <s v="SI"/>
    <s v="SE ENTREGA REQUERIMIENTO EN DOMICILIO"/>
    <s v="MEDIO"/>
    <s v="SINVOLUNTAD DE PAGO/ SIN CAPACIDAD DE PAGO"/>
    <s v="CON NEGOCIACIÓN"/>
  </r>
  <r>
    <x v="5"/>
    <s v="NIÑO DE GUZMAN/HUAMANI,ALEXANDER"/>
    <s v="MOROTE/CONDORPUSA,MISHELL"/>
    <s v="LORENA PRADA GONZALES"/>
    <s v="GARCIA TORRES, ALEXIS ROBERTO"/>
    <s v="107178101000726541"/>
    <n v="13558.86"/>
    <s v="SOLES"/>
    <d v="2024-06-15T00:00:00"/>
    <s v="178000006896"/>
    <s v="RECUPERABLE"/>
    <s v="15,127.27"/>
    <s v="LIMA SUR"/>
    <s v="JUZGADO DE PAZ LETRADO CIVIL DE VILLA MARIA DEL TRIUNFO"/>
    <x v="0"/>
    <d v="2024-06-12T00:00:00"/>
    <s v="00556-2024-38-3001-JP-CI-01"/>
    <n v="60106"/>
    <x v="1"/>
    <s v="Obligación de dar suma de dinero"/>
    <d v="2025-02-18T00:00:00"/>
    <s v="00556-2024-0-3001-JP-CI-01"/>
    <s v="EN CALIFICACION"/>
    <s v="TOTALIDAD DEL BIEN INMUEBLE (ESTAMOS EN 2 RANGO , 1ERO CAJA TACNA ) QUE LE CORRESPONDE A LA FIADORA TORRES VDA DE GARCIA, DORIS UBICADO EN ASOCIACION DE VIVIENDA VILLA DE JESUS SUBLOTE 1, MZ. XII, LOTE 19, VILLA EL SALVADOR,LIMA,LIMA INSCRITO EN LA PARTIDA P03323224"/>
    <s v="18/02/2025 ESCRITO LO QUE SEINDICA"/>
    <s v="TOTALIDAD DEL INMUEBLE"/>
    <d v="2026-06-24T00:00:00"/>
    <s v="SI"/>
    <s v="SE NOTIFICA A CLIENTE EN SU VIVIENDA 3 PISO COLOR NARANJA"/>
    <s v="MEDIO"/>
    <s v="SINVOLUNTAD DE PAGO/ SIN CAPACIDAD DE PAGO"/>
    <s v="SIN NEGOCIACIÓN"/>
  </r>
  <r>
    <x v="5"/>
    <s v="NIÑO DE GUZMAN/HUAMANI,ALEXANDER"/>
    <s v="MOROTE/CONDORPUSA,MISHELL"/>
    <s v="LORENA PRADA GONZALES"/>
    <s v="JHOE SERVICIOS &amp; CALIDAD EIRL"/>
    <s v="107178101000255891"/>
    <n v="36324.97"/>
    <s v="SOLES"/>
    <d v="2023-09-28T00:00:00"/>
    <s v="178000002441"/>
    <s v="RECUPERABLE"/>
    <s v="38,948.51"/>
    <s v="LIMA SUR"/>
    <s v="JUZGADO DE PAZ LETRADO CIVL DE SAN JUAN DE MIRAFLORES"/>
    <x v="0"/>
    <d v="2023-09-27T00:00:00"/>
    <s v="00874-2023-21-3002-JP-CI-02"/>
    <n v="529313"/>
    <x v="1"/>
    <s v="Obligación de dar suma de dinero"/>
    <d v="2023-12-14T00:00:00"/>
    <s v="00874-2023-0-3002-JP-CI-02"/>
    <s v="SENTENCIA O AUTO FINAL"/>
    <s v="TOTALIDAD DEL BIEN INMUEBLE QUE CORRESPONDEN A LOS FIADORES: SERRANO AVALOS, ESCOLASTICO RUDECINDO Y SANCHEZ ZAPATA, MARIA ERLINDA UBICADO EN COOP. DE VIVIENDA URANMARCA LTDA. MZ. B LT. 14, UNIDAD Nº 1, DISTRITO DE SAN JUAN DE MIRAFLORES, LIMA, LIMA INSCRITO EN LA PARTIDA P03264116"/>
    <s v="25/05/2026 ESCRITO: INFORMAMOS EL PAGO A LOS PERITOS Y SOLICITAMOS SE PROGRAME FECHA Y HORA PARA REALIZAR LA TAZACION"/>
    <s v="TOTALIDAD DEL INMUEBLE"/>
    <d v="2026-06-24T00:00:00"/>
    <s v="SI"/>
    <s v="SE NOTIFICA A CLIENTE EN SU VIVIENDA 4 PISO AZUL"/>
    <s v="ALTO"/>
    <s v="SINVOLUNTAD DE PAGO/ SIN CAPACIDAD DE PAGO"/>
    <s v="SIN NEGOCIACIÓN"/>
  </r>
  <r>
    <x v="5"/>
    <s v="NIÑO DE GUZMAN/HUAMANI,ALEXANDER"/>
    <s v="MOROTE/CONDORPUSA,MISHELL"/>
    <s v="LORENA PRADA GONZALES"/>
    <s v="LANDA ZAPATA, GINO FABRIZIO"/>
    <s v="107178101001036847"/>
    <n v="22316.400000000001"/>
    <s v="SOLES"/>
    <d v="2025-05-06T00:00:00"/>
    <s v="TESTIMONIO"/>
    <s v="RECUPERABLE"/>
    <s v="36,514,63"/>
    <s v="LIMA"/>
    <s v="3°JUZGADO CIVIL-COMERCIAL DE LIMA"/>
    <x v="1"/>
    <m/>
    <m/>
    <m/>
    <x v="2"/>
    <s v="Ejecución de garantía"/>
    <d v="2026-04-21T00:00:00"/>
    <s v="10641-2026-0-1828-JR-CO-01"/>
    <s v="ADMISION"/>
    <s v="DEPARTAMENTO 301 (TERCER PISO) JIRON CUZCO NUMERO 220, MAGDALENA DEL MAR, LIMA, LIMA cuyo dominio corre inscrito en la partida electrónica N° 11863246 del Registro de Propiedad Inmueble de Lima"/>
    <s v="06/05/2026 RES 01: ADMITIDA"/>
    <s v="TOTALIDAD DEL INMUEBLE"/>
    <d v="2026-06-24T00:00:00"/>
    <s v="SI"/>
    <s v="SE NOTIFICA A CLIENTE EL RECORDATORIO DE SU CUOTA DE SU CONVENIO"/>
    <s v="ALTO"/>
    <s v="CON VOLUNTAD DE PAGO/ CON CAPACIDAD"/>
    <s v="SIN NEGOCIACIÓN"/>
  </r>
  <r>
    <x v="5"/>
    <s v="NIÑO DE GUZMAN/HUAMANI,ALEXANDER"/>
    <s v="MOROTE/CONDORPUSA,MISHELL"/>
    <s v="LORENA PRADA GONZALES"/>
    <s v="LANDA ZAPATA, GINO FABRIZIO"/>
    <s v="107178101000383550"/>
    <n v="6640.99"/>
    <s v="SOLES"/>
    <d v="2025-12-10T00:00:00"/>
    <s v="178000003697"/>
    <s v="RECUPERABLE"/>
    <s v="17,551.08"/>
    <s v="LIMA SUR"/>
    <s v="JUZGADO DE PAZ LETRADO CIVIL DE SJM"/>
    <x v="0"/>
    <d v="2025-12-10T00:00:00"/>
    <s v="00956-2025-44-3002-JP-CI-02"/>
    <n v="43641"/>
    <x v="1"/>
    <s v="Obligación de dar suma de dinero"/>
    <d v="2026-05-13T00:00:00"/>
    <s v="00956-2025-0-3002-JP-CI-02"/>
    <s v="SENTENCIA O AUTO FINAL"/>
    <s v="TOTALIDAD DEL BIEN INMUEBLE QUE LE CORRESPONDEN AL TITULAR LANDA ZAPATA, GINO FABRIZIO UBICADO EN DEPARTAMENTO 301 (TERCER PISO) JIRON CUZCO NUMERO 220, MAGDALENA DEL MAR, LIMA, LIMA INSCRITO EN LA PARTIDA ELECTRONICA N°11863246 DEL REGISTRO DE PROPIEDAD INMUEBLE."/>
    <s v="30/06/2026 RES 2 AUTO FINAL"/>
    <s v="TOTALIDAD DEL INMUEBLE"/>
    <d v="2026-06-15T00:00:00"/>
    <s v="SI"/>
    <s v="SE ENTREGA REQUERIMIENTO EN DOMICILIO"/>
    <s v="MEDIO"/>
    <s v="SINVOLUNTAD DE PAGO/ SIN CAPACIDAD DE PAGO"/>
    <s v="CON NEGOCIACIÓN"/>
  </r>
  <r>
    <x v="5"/>
    <s v="NIÑO DE GUZMAN/HUAMANI,ALEXANDER"/>
    <s v="MOROTE/CONDORPUSA,MISHELL"/>
    <s v="LORENA PRADA GONZALES"/>
    <s v="LLACCTA ZELA, BIVIANA"/>
    <s v="107178101000591761"/>
    <n v="908.95"/>
    <s v="SOLES"/>
    <d v="2024-07-20T00:00:00"/>
    <s v="178000005627"/>
    <s v="RECUPERABLE"/>
    <s v="54,502.24"/>
    <s v="LIMA SUR"/>
    <s v="JUZGADO ESPECIALIZADO CIVIL DE SAN JUAN DE MIRAFLORES"/>
    <x v="0"/>
    <d v="2024-07-18T00:00:00"/>
    <s v="00390-2024-23-3002-JR-CI-01"/>
    <n v="671115"/>
    <x v="1"/>
    <s v="Obligación de dar suma de dinero"/>
    <d v="2024-11-18T00:00:00"/>
    <s v="00390-2024-0-3002-JR-CI-01"/>
    <s v="SENTENCIA O AUTO FINAL"/>
    <s v="TOTALIDAD DEL BIEN INMUEBLE QUE CORRESPONDE AL TITULAR: LLACTA ZELA BIVIANA UBICADO EN PARCELA PREDIO ERIAZO RESULTANTE PR-03, MZ. B, LT. 18, HABILITACION URBANA, TERCER SECTOR DE LAS PAMPAS DE SAN JUAN, DISTRITO DE SAN JUAN DE MIRAFLORES, INSCRITO EN LA PARTIDA P03282741"/>
    <s v="20/10/2025RES 04: DEACUERDO CON EL COMPROMISO DE PAGO"/>
    <s v="TOTALIDAD DEL INMUEBLE"/>
    <d v="2026-06-24T00:00:00"/>
    <s v="SI"/>
    <s v="SE NOTIFICA A CLIENTE EL RECORDATORIO DE SU PAGO PUNTUAL DE SU CONVENIO."/>
    <s v="MEDIO"/>
    <s v="CON VOLUNTAD DE PAGO/ CON CAPACIDAD"/>
    <s v="CON NEGOCIACIÓN"/>
  </r>
  <r>
    <x v="5"/>
    <s v="NIÑO DE GUZMAN/HUAMANI,ALEXANDER"/>
    <s v="MOROTE/CONDORPUSA,MISHELL"/>
    <s v="LORENA PRADA GONZALES"/>
    <s v="MALPARTIDA HILARIO, JORDY DAVID"/>
    <s v="107178101000212876"/>
    <n v="19902.68"/>
    <s v="SOLES"/>
    <d v="2024-08-03T00:00:00"/>
    <s v="178000002027"/>
    <s v="RECUPERABLE"/>
    <s v="21,323.37"/>
    <s v="LIMA SUR"/>
    <s v="JUZGADO DE PAZ LETRADO CIVIL DE VILLA MARIA DEL TRIUNFO"/>
    <x v="0"/>
    <d v="2024-07-30T00:00:00"/>
    <s v="00703-2024-35-3001-JP-CI-01"/>
    <n v="493823"/>
    <x v="1"/>
    <s v="Obligación de dar suma de dinero"/>
    <d v="2026-01-19T00:00:00"/>
    <s v="00703-2024-0-3001-JP-CI-01"/>
    <s v="ADMISION"/>
    <s v="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
    <s v="13/04/2026 RES 01: ADMITIDO FORMALIZACION"/>
    <s v="TOTALIDAD DEL INMUEBLE"/>
    <d v="2026-06-24T00:00:00"/>
    <s v="SI"/>
    <s v="SE NOTIFICA A CLIENTE EN SU VIVIENDA 2 PISOS SIN PINTAR"/>
    <s v="BAJO"/>
    <s v="SINVOLUNTAD DE PAGO/ SIN CAPACIDAD DE PAGO"/>
    <s v="SIN NEGOCIACIÓN"/>
  </r>
  <r>
    <x v="5"/>
    <s v="NIÑO DE GUZMAN/HUAMANI,ALEXANDER"/>
    <s v="MOROTE/CONDORPUSA,MISHELL"/>
    <s v="LORENA PRADA GONZALES"/>
    <s v="MAMANI SOTO, ORTENCIA"/>
    <s v="107178101000402160"/>
    <n v="9511.35"/>
    <s v="SOLES"/>
    <d v="2025-10-21T00:00:00"/>
    <s v="1780008862"/>
    <s v="RECUPERABLE"/>
    <s v="17,839.86"/>
    <s v="LIMA"/>
    <s v="3° JUZGADO DE PAZ LETRADO BARRANCO Y MIRAFLORES"/>
    <x v="0"/>
    <d v="2025-10-21T00:00:00"/>
    <s v="05010-2025-27-1866-JP-CI-03"/>
    <n v="948879"/>
    <x v="1"/>
    <s v="Obligación de dar suma de dinero"/>
    <d v="2026-01-20T00:00:00"/>
    <s v="05010-2025-0-1809-JP-CI-03"/>
    <s v="SENTENCIA O AUTO FINAL"/>
    <s v="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
    <s v="17/06/2026 RES. 03 AUTO FINAL"/>
    <s v="TOTALIDAD DEL INMUEBLE"/>
    <d v="2026-06-15T00:00:00"/>
    <s v="SI"/>
    <s v="SE ENTREGA REQUERIMIENTO EN DOMICILIO"/>
    <s v="MEDIO"/>
    <s v="SINVOLUNTAD DE PAGO/ SIN CAPACIDAD DE PAGO"/>
    <s v="CON NEGOCIACIÓN"/>
  </r>
  <r>
    <x v="5"/>
    <s v="NIÑO DE GUZMAN/HUAMANI,ALEXANDER"/>
    <s v="MOROTE/CONDORPUSA,MISHELL"/>
    <s v="LORENA PRADA GONZALES"/>
    <s v="MEDINA TANTAVILCA, SEMORINA"/>
    <s v="107178101000280718"/>
    <n v="47677.26"/>
    <s v="SOLES"/>
    <d v="2023-12-30T00:00:00"/>
    <s v="178000002685"/>
    <s v="RECUPERABLE"/>
    <s v="50,158.78"/>
    <s v="LIMA SUR"/>
    <s v="1°JUZGADO CIVIL-COMERCIAL DE LIMA"/>
    <x v="0"/>
    <d v="2023-12-29T00:00:00"/>
    <s v="30733-2023-59-1817-JR-CO-01"/>
    <m/>
    <x v="1"/>
    <s v="Obligación de dar suma de dinero"/>
    <d v="2025-03-04T00:00:00"/>
    <s v="30733-2023-0-1817-JR-CO-01"/>
    <s v="ADMISION"/>
    <s v="CASA 1 PISO, CORRALON"/>
    <s v="21/01/2026 ESCRITO: ABSUELVO TRASLADO"/>
    <s v="TOTALIDAD DEL INMUEBLE"/>
    <d v="2026-06-24T00:00:00"/>
    <s v="SI"/>
    <s v="SE NOTIFICA A CLIENTE EN SU VIVIENDA CASA BLANCA 2 PISOS"/>
    <s v="ALTO"/>
    <s v="SINVOLUNTAD DE PAGO/ SIN CAPACIDAD DE PAGO"/>
    <s v="SIN NEGOCIACIÓN"/>
  </r>
  <r>
    <x v="5"/>
    <s v="NIÑO DE GUZMAN/HUAMANI,ALEXANDER"/>
    <s v="MOROTE/CONDORPUSA,MISHELL"/>
    <s v="LORENA PRADA GONZALES"/>
    <s v="MEJIA HUARALLOCLLE, WILBER"/>
    <s v="107178101000031255"/>
    <n v="11750.53"/>
    <s v="SOLES"/>
    <d v="2023-10-17T00:00:00"/>
    <s v="178000000301"/>
    <s v="RECUPERABLE"/>
    <s v="13,900.30"/>
    <s v="LIMA SUR"/>
    <s v="JUZGADO DE PAZ LETRADO CIVL DE SAN JUAN DE MIRAFLORES"/>
    <x v="0"/>
    <d v="2023-10-13T00:00:00"/>
    <s v="00937-2023-41-3002-JP-CI-02"/>
    <m/>
    <x v="1"/>
    <s v="Obligación de dar suma de dinero"/>
    <d v="2024-03-07T00:00:00"/>
    <s v="00937-2023-0-3002-JP-CI-02"/>
    <s v="ADMISION"/>
    <s v="PUEBLO JOVEN PAMPLONA ALTA MZ A LOTE 8 SECTOR SAN FRANCISCO DE LA CRUZ PE P03233803"/>
    <s v="18/09/2025ESCRITO: SOLICITO AUTO FINAL"/>
    <s v="TOTALIDAD DEL INMUEBLE"/>
    <d v="2026-06-24T00:00:00"/>
    <s v="SI"/>
    <s v="SE NOTIFICA A CLIENTE EN SU VIVIENDA 2 PISOS COLOR CRMA Y PLOMO SEGUNDO PISO"/>
    <s v="ALTO"/>
    <s v="SINVOLUNTAD DE PAGO/ SIN CAPACIDAD DE PAGO"/>
    <s v="SIN NEGOCIACIÓN"/>
  </r>
  <r>
    <x v="5"/>
    <s v="NIÑO DE GUZMAN/HUAMANI,ALEXANDER"/>
    <s v="MOROTE/CONDORPUSA,MISHELL"/>
    <s v="LORENA PRADA GONZALES"/>
    <s v="OCAMPO VACALLA, RUBEN"/>
    <s v="107178101000193886"/>
    <n v="10911.3"/>
    <s v="SOLES"/>
    <d v="2023-11-15T00:00:00"/>
    <s v="178000001843"/>
    <s v="RECUPERABLE"/>
    <s v="11,706.88"/>
    <s v="LIMA SUR"/>
    <s v="3° JUZGADO DE PAZ LETRADO BARRANCO Y MIRAFLORES"/>
    <x v="0"/>
    <d v="2025-09-29T00:00:00"/>
    <s v="04645-2025-63-1866-JP-CI-03"/>
    <n v="320305"/>
    <x v="1"/>
    <s v="Obligación de dar suma de dinero"/>
    <d v="2026-03-27T00:00:00"/>
    <s v="04645-2025-0-1809-JP-CI-03"/>
    <s v="EN CALIFICACION"/>
    <s v="TOTALIDAD DEL BIEN INMUEBLE QUE CORRESPONDE AL TITULAR: OCAMPO VACALLA, RUBEN UBICADO EN PUEBLO JOVEN PRIMER HOGAR POLICIAL, MZ S2, LOTE 11, ZONA II, VILLA MARIA DEL TRIUNFO ,LIMA ,LIMA INSCRITO EN LA PARTIDA P03122551"/>
    <s v="08/04/2026 ESCRITO: ADJUNTO ARANCEL DE EXHORTO"/>
    <s v="TOTALIDAD DEL INMUEBLE"/>
    <d v="2026-06-24T00:00:00"/>
    <s v="SI"/>
    <s v="SE NOTIFICA A CLIENTE EN SU VIVIENDA 4 PISOS NARANJA SE NOTIFICA EMBARGO"/>
    <s v="ALTO"/>
    <s v="SINVOLUNTAD DE PAGO/ SIN CAPACIDAD DE PAGO"/>
    <s v="SIN NEGOCIACIÓN"/>
  </r>
  <r>
    <x v="5"/>
    <s v="NIÑO DE GUZMAN/HUAMANI,ALEXANDER"/>
    <s v="MOROTE/CONDORPUSA,MISHELL"/>
    <s v="LORENA PRADA GONZALES"/>
    <s v="OLIVERA RAMIREZ, ILMER"/>
    <s v="107178101000964799"/>
    <n v="31224.240000000002"/>
    <s v="SOLES"/>
    <d v="2025-06-09T00:00:00"/>
    <s v="TESTIMONIO"/>
    <s v="RECUPERABLE"/>
    <s v="34556.34"/>
    <s v="LIMA"/>
    <s v="12° JUZGADO CIVIL - COMERCIAL DE LIMA"/>
    <x v="1"/>
    <m/>
    <m/>
    <m/>
    <x v="2"/>
    <s v="Ejecución de garantía"/>
    <d v="2025-06-06T00:00:00"/>
    <s v="12606-2025-0-1828-JR-CO-12"/>
    <s v="ADMISION"/>
    <s v="VEHÍCULO DE PLACA DE RODAJE N° BSI664"/>
    <s v="22/04/2026 ESCRITO: ADJUNTO ARANCEL"/>
    <s v="TOTALIDAD DEL MUEBLE"/>
    <d v="2026-06-24T00:00:00"/>
    <s v="SI"/>
    <s v="SE NOTIFICA A CLIENTE EN SU VIVIENDA 2 PISOS CREMA"/>
    <s v="ALTO"/>
    <s v="SINVOLUNTAD DE PAGO/ SIN CAPACIDAD DE PAGO"/>
    <s v="SIN NEGOCIACIÓN"/>
  </r>
  <r>
    <x v="5"/>
    <s v="NIÑO DE GUZMAN/HUAMANI,ALEXANDER"/>
    <s v="MOROTE/CONDORPUSA,MISHELL"/>
    <s v="LORENA PRADA GONZALES"/>
    <s v="OTINIANO GONZALEZ, MAXIMINA ISABEL"/>
    <s v="107178101000539169"/>
    <n v="29507.72"/>
    <s v="SOLES"/>
    <d v="2024-05-15T00:00:00"/>
    <s v="178000005130"/>
    <s v="RECUPERABLE"/>
    <s v="52,949.34"/>
    <s v="LIMA SUR"/>
    <s v="JUZGADO ESPECIALIZADO CIVIL DE SAN JUAN DE MIRAFLORES"/>
    <x v="0"/>
    <d v="2023-12-14T00:00:00"/>
    <s v="00837-2023-40-3002-JR-CI-01"/>
    <n v="652018"/>
    <x v="1"/>
    <s v="Obligación de dar suma de dinero"/>
    <d v="2025-02-05T00:00:00"/>
    <s v="00837-2023-0-3002-JR-CI-01"/>
    <s v="ADMISION"/>
    <s v="TOTALIDAD DEL BIEN INMUEBLE QUE CORRESPONDE AL TITULAR OTINIANO GONZALES, MAXIMINA ISABEL, UBICADO EN PUEBLO JOVEN ASOC. DE POBLADORES MARTIRES DE SAN JUAN, MZ. C, LOTE 11, DISTRITO DE SAN JUAN DE MIRAFLORES, LIMA, LIMA INSCRITO EN LA PARTIDA P03104317"/>
    <s v="16/03/2026 ESCRITO: SOLICITO AUTO FINAL"/>
    <s v="TOTALIDAD DEL INMUEBLE"/>
    <d v="2026-06-24T00:00:00"/>
    <s v="SI"/>
    <s v="SE NOTIFICA A CLIENTE EL RECORDATORIO DE SU PAGO PUNTUAL DE SU CONVENIO."/>
    <s v="MEDIO"/>
    <s v="CON VOLUNTAD DE PAGO/ CON CAPACIDAD"/>
    <s v="SIN NEGOCIACIÓN"/>
  </r>
  <r>
    <x v="5"/>
    <s v="NIÑO DE GUZMAN/HUAMANI,ALEXANDER"/>
    <s v="MOROTE/CONDORPUSA,MISHELL"/>
    <s v="LORENA PRADA GONZALES"/>
    <s v="PEDRAZA MIJAHUANCA, ALIDEZ"/>
    <s v="107178101000780309"/>
    <n v="13686.13"/>
    <s v="SOLES"/>
    <d v="2024-09-25T00:00:00"/>
    <s v="178000007410"/>
    <s v="RECUPERABLE"/>
    <s v="15,188.96"/>
    <s v="LIMA SUR"/>
    <s v="JUZGADO DE PAZ LETRADO CIVL DE SAN JUAN DE MIRAFLORES"/>
    <x v="0"/>
    <d v="2024-09-17T00:00:00"/>
    <s v="00841-2024-98-3002-JP-CI-02"/>
    <n v="862207"/>
    <x v="0"/>
    <m/>
    <m/>
    <m/>
    <m/>
    <s v="TOTALIDAD DEL BIEN INMUEBLE QUE CORRESPONDEN A LOS FIADORES: MANTILLA MPORENO, MARCOS MELIO Y AGUILAR RODRIGUEZ, JUANA UBICADO EN ASOCIACION DE VIVIENDA LA MERCED DE LIMA MZ. F LOTE. 4 , SAN JUAN DE MIRAFLORES, LIMA, LIMA INSCRITO EN LA PARTIDA P03223378"/>
    <m/>
    <s v="TOTALIDAD DEL INMUEBLE"/>
    <d v="2026-06-24T00:00:00"/>
    <s v="SI"/>
    <s v="SE NOTIFICA A CLIENTE EN SU VIVIENDA 1 PISOS DE CEMENTO SIN PINTAL BODEGA"/>
    <s v="BAJO"/>
    <s v="SINVOLUNTAD DE PAGO/ SIN CAPACIDAD DE PAGO"/>
    <s v="SIN NEGOCIACIÓN"/>
  </r>
  <r>
    <x v="5"/>
    <s v="NIÑO DE GUZMAN/HUAMANI,ALEXANDER"/>
    <s v="MOROTE/CONDORPUSA,MISHELL"/>
    <s v="LORENA PRADA GONZALES"/>
    <s v="PEÑA QUISPE, EDSON ESTEFANO"/>
    <s v="107178101000487688"/>
    <n v="8387.93"/>
    <s v="SOLES"/>
    <d v="2023-05-05T00:00:00"/>
    <s v="178000004662"/>
    <s v="RECUPERABLE"/>
    <s v="9,179.51"/>
    <s v="LIMA SUR"/>
    <s v="JUZGADO DE PAZ LETRADO CIVL DE SAN JUAN DE MIRAFLORES"/>
    <x v="0"/>
    <d v="2023-05-04T00:00:00"/>
    <s v="00377-2023-22-3002-JP-CI-02"/>
    <n v="887568"/>
    <x v="1"/>
    <s v="Obligación de dar suma de dinero"/>
    <d v="2023-09-14T00:00:00"/>
    <s v="00377-2023-0-3002-JP-CI-02"/>
    <s v="SENTENCIA O AUTO FINAL"/>
    <s v="TOTALIDAD DEL INMUEBLE QUE CORRESPONDE AL FIADOR: QUISPE MAYHUA, MARIA CRISTINA UBICADO EN PUEBLO JOVEN PAMPLONA ALTA, MZ. T, LOTE 7, DPTO.101, EDF. PIS/REF. 1-S.F., SAN JUAN DE MIRAFLORES, LIMA, LIMA INSCRITO EN LA PARTIDA P03258861"/>
    <s v="26/08/2025ESCRITO: CONSENTIMENTO Y REQUERIMIENTO"/>
    <s v="TOTALIDAD DEL INMUEBLE"/>
    <d v="2026-06-24T00:00:00"/>
    <s v="SI"/>
    <s v="SE NOTIFICA A CLIENTE EN SU VIVIENDA CASA 4 PISOS, MULTIFAMILIAR, VIVE EN 1ER PISO, MATERIAL NOBLE,C"/>
    <s v="ALTO"/>
    <s v="SINVOLUNTAD DE PAGO/ SIN CAPACIDAD DE PAGO"/>
    <s v="SIN NEGOCIACIÓN"/>
  </r>
  <r>
    <x v="5"/>
    <s v="NIÑO DE GUZMAN/HUAMANI,ALEXANDER"/>
    <s v="MOROTE/CONDORPUSA,MISHELL"/>
    <s v="LORENA PRADA GONZALES"/>
    <s v="RAMOS NINA, JAVIER JESUS"/>
    <s v="107178101000634781"/>
    <n v="9575.18"/>
    <s v="SOLES"/>
    <d v="2024-07-11T00:00:00"/>
    <s v="178000006032"/>
    <s v="RECUPERABLE"/>
    <s v="10,578.90"/>
    <s v="LIMA SUR"/>
    <s v="JUZGADO DE PAZ LETRADO CIVIL DE VILLA MARIA DEL TRIUNFO"/>
    <x v="0"/>
    <d v="2024-06-24T00:00:00"/>
    <s v="00587-2024-79-3001-JP-CI-01"/>
    <m/>
    <x v="1"/>
    <s v="Obligación de dar suma de dinero"/>
    <d v="2025-11-13T00:00:00"/>
    <s v="00587-2024-0-3001-JP-CI-01"/>
    <s v="ADMISION"/>
    <s v="TOTALIDAD DEL BIEN INMUEBLE QUE LE CORRESPONDE AL FIADOR CHAHUA NINA, VICENTA UBICADO ENPUEBLO JOVEN NUEVA ESPERANZA ASENTAMIENTO HUMANO AMISTAD 8 DE OCTUBRE MZ.G, LOTE 6, VILLA MARIA DEL TRIUNFO, LIMA,LIMA INSCRITO EN LA PARTIDA P03269679"/>
    <s v="21/05/2026 ESCRITO: ABSUELVO TRASLADO"/>
    <s v="TOTALIDAD DEL INMUEBLE"/>
    <d v="2026-06-24T00:00:00"/>
    <s v="SI"/>
    <s v="SE NOTIFICA A CLIENTE EN SU VIVIENDA CASA 3 PISOS COLOR BLANCO CON PARTE BAJA PRIMER PISO"/>
    <s v="BAJO"/>
    <s v="SINVOLUNTAD DE PAGO/ SIN CAPACIDAD DE PAGO"/>
    <s v="SIN NEGOCIACIÓN"/>
  </r>
  <r>
    <x v="5"/>
    <s v="NIÑO DE GUZMAN/HUAMANI,ALEXANDER"/>
    <s v="MOROTE/CONDORPUSA,MISHELL"/>
    <s v="LORENA PRADA GONZALES"/>
    <s v="RAMOS NINA, JAVIER JESUS"/>
    <s v="107178101000772312"/>
    <n v="10063.11"/>
    <s v="SOLES"/>
    <d v="2024-07-02T00:00:00"/>
    <s v="178000007333"/>
    <s v="RECUPERABLE"/>
    <s v="15,355.83"/>
    <s v="LIMA SUR"/>
    <s v="JUZGADO DE PAZ LETRADO CIVIL DE VILLA MARIA DEL TRIUNFO"/>
    <x v="0"/>
    <d v="2024-06-24T00:00:00"/>
    <s v="00587-2024-79-3001-JP-CI-01"/>
    <m/>
    <x v="1"/>
    <s v="Obligación de dar suma de dinero"/>
    <d v="2025-11-13T00:00:00"/>
    <s v="00587-2024-0-3001-JP-CI-01"/>
    <s v="ADMISION"/>
    <s v="TOTALIDAD DEL BIEN INMUEBLE QUE LE CORRESPONDE AL FIADOR CHAHUA NINA, VICENTA UBICADO ENPUEBLO JOVEN NUEVA ESPERANZA ASENTAMIENTO HUMANO AMISTAD 8 DE OCTUBRE MZ.G, LOTE 6, VILLA MARIA DEL TRIUNFO, LIMA,LIMA INSCRITO EN LA PARTIDA P03269679"/>
    <s v="21/05/2026 ESCRITO: ABSUELVO TRASLADO"/>
    <s v="TOTALIDAD DEL INMUEBLE"/>
    <d v="2026-06-24T00:00:00"/>
    <s v="SI"/>
    <s v="SE NOTIFICA A CLIENTE EN SU VIVIENDA CASA 3 PISOS COLOR BLANCO CON PARTE BAJA PRIMER PISO"/>
    <s v="BAJO"/>
    <s v="SINVOLUNTAD DE PAGO/ SIN CAPACIDAD DE PAGO"/>
    <s v="SIN NEGOCIACIÓN"/>
  </r>
  <r>
    <x v="5"/>
    <s v="NIÑO DE GUZMAN/HUAMANI,ALEXANDER"/>
    <s v="MOROTE/CONDORPUSA,MISHELL"/>
    <s v="LORENA PRADA GONZALES"/>
    <s v="REATEGUI SANCHEZ, JOSE LUIS"/>
    <s v="107178101000305902"/>
    <n v="4614.4799999999996"/>
    <s v="SOLES"/>
    <d v="2024-06-11T00:00:00"/>
    <s v="178000002935"/>
    <s v="RECUPERABLE"/>
    <s v="14,541.73"/>
    <s v="LIMA SUR"/>
    <s v="JUZGADO DE PAZ LETRADO CIVL DE SAN JUAN DE MIRAFLORES"/>
    <x v="0"/>
    <d v="2024-06-10T00:00:00"/>
    <s v="00490-2024-96-3002-JP-CI-02"/>
    <n v="928613"/>
    <x v="1"/>
    <s v="Obligación de dar suma de dinero"/>
    <d v="2026-01-13T00:00:00"/>
    <s v="00490-2024-0-3002-JP-CI-02"/>
    <s v="SENTENCIA O AUTO FINAL"/>
    <s v="TOTALIDAD DEL BIEN INMUEBLE QUE LE CORRESPONDEN A LOS FIADORES: CHOCCÑA FLORES, JUAN Y GUTIERREZ SEGOVIA, ANGELINA UBICADO EN PLAN INTEGRAL PAMPAS DE SAN JUAN, MZ. N, LOTE 9, PUEBLO JOVEN MANUEL SOCRZA, SAN JUAN DE MIRAFLORES, LIMA ,LIMA INSCRITO EN LA PARTIDA P03115659"/>
    <s v="30/04/2026 RES 3 AUTO FINAL"/>
    <s v="TOTALIDAD DEL INMUEBLE"/>
    <d v="2026-06-24T00:00:00"/>
    <s v="SI"/>
    <s v="SE NOTIFICA A CLIENTE EN SU VIVIENDA 3 PISOS COLOR VERDE PRIMERPISO Y RESTO SIN PINTAR"/>
    <s v="BAJO"/>
    <s v="SINVOLUNTAD DE PAGO/ SIN CAPACIDAD DE PAGO"/>
    <s v="CON NEGOCIACIÓN"/>
  </r>
  <r>
    <x v="5"/>
    <s v="NIÑO DE GUZMAN/HUAMANI,ALEXANDER"/>
    <s v="MOROTE/CONDORPUSA,MISHELL"/>
    <s v="LORENA PRADA GONZALES"/>
    <s v="RODRIGUEZ CORDOVA, DORIS ELIZABETH"/>
    <s v="107178101000214747"/>
    <n v="42866.57"/>
    <s v="SOLES"/>
    <d v="2024-01-23T00:00:00"/>
    <s v="178000002040"/>
    <s v="RECUPERABLE"/>
    <s v="45,819.69"/>
    <s v="LIMA SUR"/>
    <s v="JUZGADO DE PAZ LETRADO CIVL DE SAN JUAN DE MIRAFLORES"/>
    <x v="0"/>
    <d v="2024-01-17T00:00:00"/>
    <s v="00037-2024-3-3002-JP-CI-02"/>
    <n v="367856"/>
    <x v="0"/>
    <m/>
    <m/>
    <m/>
    <m/>
    <s v="TOTALIDAD DEL BIEN INMUEBLE DEL FIADOR JERI GUERRERO, JULIO CESAR UBICADO EN ASENTAMIENTO HUMANO LA ALBORADA, I ETAPA, MZ. I, LOTE 4, DISTRITO DE PUENTE PIEDRA, LIMA ,LIMA INSCRITO EN LA PARTIDA P01279659"/>
    <m/>
    <s v="TOTALIDAD DEL INMUEBLE"/>
    <d v="2026-06-24T00:00:00"/>
    <s v="SI"/>
    <s v="SE NOTIFICA A CLIENTE EN SU VIVIENDA 4 PISOS COLOR BLANCO Y TAMBIEN SE DEJA AVAN EN PAMPLONA ALTA CA"/>
    <s v="ALTO"/>
    <s v="SINVOLUNTAD DE PAGO/ SIN CAPACIDAD DE PAGO"/>
    <s v="SIN NEGOCIACIÓN"/>
  </r>
  <r>
    <x v="5"/>
    <s v="NIÑO DE GUZMAN/HUAMANI,ALEXANDER"/>
    <s v="MOROTE/CONDORPUSA,MISHELL"/>
    <s v="LORENA PRADA GONZALES"/>
    <s v="SAPAICO PACHECO, AUREA ROSA"/>
    <s v="107178101000764040"/>
    <n v="12642.53"/>
    <s v="SOLES"/>
    <d v="2025-03-03T00:00:00"/>
    <s v="178000007257"/>
    <s v="RECUPERABLE"/>
    <s v="30,195.26"/>
    <s v="LIMA SUR"/>
    <s v="JUZGADO DE PAZ LETRADO CIVL DE SAN JUAN DE MIRAFLORES"/>
    <x v="0"/>
    <d v="2025-02-28T00:00:00"/>
    <s v="00140-2025-66-3002-JP-CI-02"/>
    <n v="810801"/>
    <x v="1"/>
    <s v="Obligación de dar suma de dinero"/>
    <d v="2025-08-19T00:00:00"/>
    <s v="00140-2025-0-3002-JP-CI-02"/>
    <s v="SENTENCIA O AUTO FINAL"/>
    <s v="TOTALIDAD DEL BIEN INMUEBLE QUE LE CORRESPONDE A LA TITULAR SAPAICO PACHECO AUREA ROSA, UBICADO EN PLAN INTEGRAL PAMPAS DE SAN JUAN MZ. B LOTE 33 PUEBLO JOVEN JOSE CARLOS MARIATEGUI, SAN JUAN DE MIRAFLORES,LIMA, LIMA INSCRITO EN LA PARTIDA Nº P03131420"/>
    <s v="29/10/2025RES 02: AUTO FINAL"/>
    <s v="TOTALIDAD DEL INMUEBLE"/>
    <d v="2026-06-24T00:00:00"/>
    <s v="SI"/>
    <s v="SE NOTIFICA A CLIENTE EN SU VIVIENDA 2 PISOS NARANJA"/>
    <s v="ALTO"/>
    <s v="CON VOLUNTAD DE PAGO/ CON CAPACIDAD"/>
    <s v="CON NEGOCIACIÓN"/>
  </r>
  <r>
    <x v="5"/>
    <s v="NIÑO DE GUZMAN/HUAMANI,ALEXANDER"/>
    <s v="MOROTE/CONDORPUSA,MISHELL"/>
    <s v="LORENA PRADA GONZALES"/>
    <s v="SERRANO SANCHEZ, NELLY MERCEDES"/>
    <s v="107178101000375000"/>
    <n v="16959.66"/>
    <s v="SOLES"/>
    <d v="2023-10-17T00:00:00"/>
    <s v="178000003605"/>
    <s v="RECUPERABLE"/>
    <s v="18,477.35"/>
    <s v="LIMA SUR"/>
    <s v="JUZGADO DE PAZ LETRADO CIVL DE SAN JUAN DE MIRAFLORES"/>
    <x v="0"/>
    <d v="2023-10-11T00:00:00"/>
    <s v="00928-2023-98-3002-JP-CI-02"/>
    <n v="920969"/>
    <x v="1"/>
    <s v="Obligación de dar suma de dinero"/>
    <d v="2023-12-14T00:00:00"/>
    <s v="00928-2023-0-3002-JP-CI-02"/>
    <s v="SENTENCIA O AUTO FINAL"/>
    <s v="TOTALIDAD DEL BIEN INMUEBLE QUE CORRESPONDEN A LOS FIADORES: SERRANO AVALOS, ESCOLASTICO RUDECINDO Y SANCHEZ ZAPATA, MARIA ERLINDA UBICADO EN COOP. DE VIVIENDA URANMARCA LTDA. MZ. B LT. 14, UNIDAD Nº 1, DISTRITO DE SAN JUAN DE MIRAFLORES, LIMA, LIMA INSCRITO EN LA PARTIDA P03264116"/>
    <s v="17/03/2026 RES 05: CONSENTIDO EL AUTO FINAL"/>
    <s v="TOTALIDAD DEL INMUEBLE"/>
    <d v="2026-06-24T00:00:00"/>
    <s v="SI"/>
    <s v="SE NOTIFICA A CLIENTE EN SU VIVIENDA 4 PISO AZUL"/>
    <s v="ALTO"/>
    <s v="SINVOLUNTAD DE PAGO/ SIN CAPACIDAD DE PAGO"/>
    <s v="SIN NEGOCIACIÓN"/>
  </r>
  <r>
    <x v="5"/>
    <s v="NIÑO DE GUZMAN/HUAMANI,ALEXANDER"/>
    <s v="MOROTE/CONDORPUSA,MISHELL"/>
    <s v="LORENA PRADA GONZALES"/>
    <s v="SOLIS SOLIS, GEMMEL ORLANDO"/>
    <s v="107178101001050994"/>
    <n v="40966.620000000003"/>
    <s v="SOLES"/>
    <d v="2025-10-21T00:00:00"/>
    <s v="178000009959"/>
    <s v="RECUPERABLE"/>
    <s v="43,188.59"/>
    <s v="LIMA"/>
    <s v="3° JUZGADO DE PAZ LETRADO BARRANCO Y MIRAFLORES"/>
    <x v="0"/>
    <d v="2026-06-24T00:00:00"/>
    <s v="02605-2026-1-3203-JP-CI-02"/>
    <n v="232907"/>
    <x v="0"/>
    <m/>
    <m/>
    <m/>
    <m/>
    <s v="TOTALIDAD DEL BIEN IMBUELE QUE LE CORRESPONDE AL FIADOR SOLIS SOLIS ROSA LUZ, UBICADO EN PUEBLO JOVEN PRO VIVIENDA EL AGUSTINO MZ. G LOTE 6 ZONA QUINTA, ETAPA PRIMERA, EL AGUSTINO, LIMA, LIMA"/>
    <m/>
    <s v="TOTALIDAD DEL INMUEBLE"/>
    <d v="2026-06-24T00:00:00"/>
    <s v="SI"/>
    <s v="SE ENTREGA REQUERIMIENTO EN DOMICILIO"/>
    <s v="MEDIO"/>
    <s v="SINVOLUNTAD DE PAGO/ SIN CAPACIDAD DE PAGO"/>
    <s v="SIN NEGOCIACIÓN"/>
  </r>
  <r>
    <x v="5"/>
    <s v="NIÑO DE GUZMAN/HUAMANI,ALEXANDER"/>
    <s v="MOROTE/CONDORPUSA,MISHELL"/>
    <s v="LORENA PRADA GONZALES"/>
    <s v="SUMAQ ASOCIADOS SAC"/>
    <s v="107178101000458387"/>
    <n v="16828.48"/>
    <s v="SOLES"/>
    <d v="2024-05-03T00:00:00"/>
    <s v="178000004389"/>
    <s v="RECUPERABLE"/>
    <s v="18,023.02"/>
    <s v="LIMA SUR"/>
    <s v="JUZGADO DE PAZ LETRADO CIVL DE SAN JUAN DE MIRAFLORES"/>
    <x v="0"/>
    <d v="2025-12-22T00:00:00"/>
    <s v="00991-2025-30-3002-JP-CI-02"/>
    <n v="99607"/>
    <x v="1"/>
    <s v="Obligación de dar suma de dinero"/>
    <d v="2026-04-16T00:00:00"/>
    <s v="00991-2025-0-3002-JP-CI-02"/>
    <s v="ADMISION"/>
    <s v="TOTALIDAD DEL BIEN INMUEBLE QUE LE CORRESPONDE AL FIADOR MAYHUA JANAMPA, YOLANDA UBICADO EN PUEBLO JOVEN SARITA COLONIA, MZ J, LOTE 3, DISTRITO DE SAN JUAN DE MIRAFLORES, LIMA, LIMA INSCRITO EN LA PARTIDA Nº P03121719"/>
    <s v="12/05/2026 RES 01: ADMITIERON LA FORMALIZACION"/>
    <s v="TOTALIDAD DEL INMUEBLE"/>
    <d v="2026-06-24T00:00:00"/>
    <s v="SI"/>
    <s v="SE NOTIFICA A CLIENTE EN SU VIVIENDA 1 PISO PRECARIO"/>
    <s v="MEDIO"/>
    <s v="SINVOLUNTAD DE PAGO/ SIN CAPACIDAD DE PAGO"/>
    <s v="SIN NEGOCIACIÓN"/>
  </r>
  <r>
    <x v="5"/>
    <s v="NIÑO DE GUZMAN/HUAMANI,ALEXANDER"/>
    <s v="MOROTE/CONDORPUSA,MISHELL"/>
    <s v="LORENA PRADA GONZALES"/>
    <s v="TIMANA VALDERRAMA, GISELA SUSANA"/>
    <s v="107178101000254367"/>
    <n v="26197.65"/>
    <s v="SOLES"/>
    <d v="2024-01-31T00:00:00"/>
    <s v="178000002426"/>
    <s v="RECUPERABLE"/>
    <s v="27,919.24"/>
    <s v="LIMA SUR"/>
    <s v="JUZGADO DE PAZ LETRADO DE VILLA EL SALVADOR"/>
    <x v="0"/>
    <d v="2024-01-26T00:00:00"/>
    <s v="00085-2024-19-3004-JP-CI-01"/>
    <m/>
    <x v="1"/>
    <s v="Obligación de dar suma de dinero"/>
    <d v="2024-05-29T00:00:00"/>
    <s v="00085-2024-0-3004-JP-CI-01"/>
    <s v="SENTENCIA O AUTO FINAL"/>
    <s v="TOTALIDAD DEL BIEN ( 1 RANGO) QUE LE CORRESPONDE A LOS FIADORES MENDOZA QUISPE, JULIO MANUEL Y QUILCARO LEON LUICA BEATRIZ UBICADO EN PUELO JOVEN EDILBERTO RAMOS MZ P LOTE 10 GRUPO RESIDENCIAL 2, VILLA EL SALVADOR, LIMA, LIMA PARTIDA P03144836"/>
    <s v="02/06/2026 ESCRITO: SOLICITO CONSENTIMIENTO Y REQUERIMIENTO"/>
    <s v="TOTALIDAD DEL INMUEBLE"/>
    <d v="2026-06-24T00:00:00"/>
    <s v="SI"/>
    <s v="SE NOTIFICA A CLIENTE EN SU VIVIENDA 1 PISO COLOR BLANCO"/>
    <s v="ALTO"/>
    <s v="SINVOLUNTAD DE PAGO/ SIN CAPACIDAD DE PAGO"/>
    <s v="SIN NEGOCIACIÓN"/>
  </r>
  <r>
    <x v="5"/>
    <s v="NIÑO DE GUZMAN/HUAMANI,ALEXANDER"/>
    <s v="MOROTE/CONDORPUSA,MISHELL"/>
    <s v="LORENA PRADA GONZALES"/>
    <s v="VALLES ROBALINO, JESLY"/>
    <s v="107178101000827125"/>
    <n v="36687.35"/>
    <s v="SOLES"/>
    <d v="2025-11-12T00:00:00"/>
    <s v="178000007846"/>
    <s v="RECUPERABLE"/>
    <s v="41,394.93"/>
    <s v="LIMA"/>
    <s v="3° JUZGADO DE PAZ LETRADO BARRANCO Y MIRAFLORES"/>
    <x v="0"/>
    <d v="2025-11-12T00:00:00"/>
    <s v="05395-2025-71-1866-JP-CI-03"/>
    <n v="690635"/>
    <x v="1"/>
    <s v="Obligación de dar suma de dinero"/>
    <d v="2026-05-16T00:00:00"/>
    <s v="05395-2025-0-1809-JP-CI-03"/>
    <s v="ADMISION"/>
    <s v="ACCIONES Y DERECHOS DEL BIEN INMUEBLE QUE CORRESPONDEN AL TITULAR VALLES ROBALINO, JESLY UBICADO EN CENTRO POBLADO GROCIO PRADO CALLE RASARIO NUM 105 SUB LOTE 3, PROVINCIA DE CHINCHA, DEPARTAMENTO DE ICA INSCRITO EN LA PARTIDA ELECTRONICA Nº P21012471 OFICINA CHINCHA"/>
    <s v="02/02/2026 ESCRITO: SOLICITO AUTO FINAL"/>
    <s v="ACCIONES Y DERECHOS"/>
    <d v="2026-06-15T00:00:00"/>
    <s v="SI"/>
    <s v="SE ENTREGA REQUERIMIENTO EN DOMICILIO"/>
    <s v="MEDIO"/>
    <s v="SINVOLUNTAD DE PAGO/ SIN CAPACIDAD DE PAGO"/>
    <s v="SIN NEGOCIACIÓN"/>
  </r>
  <r>
    <x v="6"/>
    <s v="NIÑO DE GUZMAN/HUAMANI,ALEXANDER"/>
    <s v="MOROTE/CONDORPUSA,MISHELL"/>
    <s v="LORENA PRADA GONZALES"/>
    <s v="ADRIANO LEDESMA, IVAN NOE"/>
    <s v="107074101001854424"/>
    <n v="21951.75"/>
    <s v="SOLES"/>
    <d v="2025-05-20T00:00:00"/>
    <s v="TESTIMONIO"/>
    <s v="RECUPERABLE"/>
    <s v="24,119,29"/>
    <s v="LIMA"/>
    <s v="12° JUZGADO CIVIL - COMERCIAL DE LIMA"/>
    <x v="1"/>
    <m/>
    <m/>
    <m/>
    <x v="2"/>
    <s v="Ejecución de garantía"/>
    <d v="2025-05-20T00:00:00"/>
    <s v="10808-2025-0-1828-JR-CO-12"/>
    <s v="SENTENCIA O AUTO FINAL"/>
    <s v="TOTALIDAD DEL BIEN VEHICULAR, MARCA MAZDA, MODELO: MAZDADA3, PLACA D8L325 P: 51504973"/>
    <s v="19/05/2026 ESCRITO: ABSUELVE TRASLADO Y SOLICITA SE REITERE OFICIO DE CAPTURA A LA PNP ADJUNTANDO LAS RESOLUCIONES CORRESPONDIENTES"/>
    <s v="TOTALIDAD DEL INMUEBLE"/>
    <d v="2026-06-26T00:00:00"/>
    <s v="SI"/>
    <s v="SE NOTIFICA A CLIENTE EN SU VIVIENDA CASA 2 PISOS CREMA"/>
    <s v="ALTO"/>
    <s v="SINVOLUNTAD DE PAGO/ SIN CAPACIDAD DE PAGO"/>
    <s v="SIN NEGOCIACIÓN"/>
  </r>
  <r>
    <x v="6"/>
    <s v="NIÑO DE GUZMAN/HUAMANI,ALEXANDER"/>
    <s v="MOROTE/CONDORPUSA,MISHELL"/>
    <s v="LORENA PRADA GONZALES"/>
    <s v="AGUILAR TORRES, MARIA DEL CARMEN"/>
    <s v="107074101000996919"/>
    <n v="20623.560000000001"/>
    <s v="SOLES"/>
    <d v="2024-06-06T00:00:00"/>
    <s v="74000009253"/>
    <s v="IRRECUPERABLE"/>
    <s v="49,378,58"/>
    <s v="LIMA"/>
    <s v="3 JUZGADO DE PAZ LETRADO LINCE SAN ISIDRO"/>
    <x v="0"/>
    <d v="2024-05-29T00:00:00"/>
    <s v="01003-2024-64-1802-JP-CI-03"/>
    <n v="943524"/>
    <x v="1"/>
    <s v="Obligación de dar suma de dinero"/>
    <d v="2024-09-04T00:00:00"/>
    <s v="01003-2024-0-1802-JP-CI-03"/>
    <s v="SENTENCIA O AUTO FINAL"/>
    <s v="ACCIONES Y DERECHOS DEL TITULAR, P: 45578100, UBICADO EN LT. 04 MZ. H-15, AREA 300,00 M2 LINDEROS Y MEDIDAS PERIMETRICAS POR EL FRENTE CON LA AV. EL PARQUE, SAN BORJA, LIMA, LIMA"/>
    <s v="18/11/2024RES 03: NOTIFIQUESE A LAS PARTES"/>
    <s v="ACCIONES Y DERECHOS"/>
    <d v="2026-06-12T00:00:00"/>
    <s v="SI"/>
    <s v="SE NOTIFICA A CLIENTE EL RECORDATORIO DE SU PAGO PUNTUAL DE SU CONVENIO."/>
    <s v="BAJO"/>
    <s v="SINVOLUNTAD DE PAGO/ SIN CAPACIDAD DE PAGO"/>
    <s v="CON NEGOCIACIÓN"/>
  </r>
  <r>
    <x v="6"/>
    <s v="NIÑO DE GUZMAN/HUAMANI,ALEXANDER"/>
    <s v="MOROTE/CONDORPUSA,MISHELL"/>
    <s v="LORENA PRADA GONZALES"/>
    <s v="AISUR MANAGER S.A.C."/>
    <s v="107074101001155369"/>
    <n v="179136.19"/>
    <s v="SOLES"/>
    <d v="2023-07-21T00:00:00"/>
    <s v="74000010655"/>
    <s v="IRRECUPERABLE"/>
    <s v="216,758.01"/>
    <s v="LIMA"/>
    <s v="14° JUZGADO COMERCIAL DE LIMA"/>
    <x v="1"/>
    <m/>
    <m/>
    <m/>
    <x v="2"/>
    <s v="Obligación de dar suma de dinero"/>
    <d v="2025-07-17T00:00:00"/>
    <s v="14695-2023-0-1817-JR-CO-14"/>
    <s v="SENTENCIA O AUTO FINAL"/>
    <s v="NINGUNO"/>
    <s v="18/12/2024RES 08: DA CUENTA DEL ESCRITO INGRESADO POR LA PARTE DEMANDANTE"/>
    <s v="NINGUNO"/>
    <d v="2026-06-12T00:00:00"/>
    <s v="SI"/>
    <s v="SE NOTIFICA A CLIENTE EN SU VIVIENDA SE NOTIFICA AVAL 5 PISOS COLOR PLOMO"/>
    <s v="BAJO"/>
    <s v="SINVOLUNTAD DE PAGO/ SIN CAPACIDAD DE PAGO"/>
    <s v="SIN NEGOCIACIÓN"/>
  </r>
  <r>
    <x v="6"/>
    <s v="NIÑO DE GUZMAN/HUAMANI,ALEXANDER"/>
    <s v="MOROTE/CONDORPUSA,MISHELL"/>
    <s v="LORENA PRADA GONZALES"/>
    <s v="ALANYA VELASQUEZ, ROGER GERMAN"/>
    <s v="107074101001156794"/>
    <n v="36801.07"/>
    <s v="SOLES"/>
    <d v="2023-10-09T00:00:00"/>
    <s v="TESTIMONIO"/>
    <s v="RECUPERABLE"/>
    <s v="50,960.93"/>
    <s v="LIMA"/>
    <s v="8 J CIVIL COMERCIAL"/>
    <x v="1"/>
    <m/>
    <m/>
    <m/>
    <x v="2"/>
    <s v="Ejecución de garantía"/>
    <d v="2023-10-04T00:00:00"/>
    <s v="21210-2023-0-1817-JR-CO-08"/>
    <s v="SENTENCIA O AUTO FINAL"/>
    <s v="PROGRAMA DE ADJUDICACIÓN DE LOTES DE VIVIENDA ORGANIZACIÓN DE FAMILIAS AMPLIACION OASIS DE VILLA, GRUPO 2 MZ. C, LOTE 43, DISTRITO DE VILLA EL SALVADFOR, PROVINCIA Y DEPARTAMENTO DE LIMA, PARTIDA ELECTRÓNICA N° P03319657 DEL REGISTRO DE PROPIEDAD INMUEBLE DE LIMA"/>
    <s v="11/06/2026 RES 07: SOBRECARTESE A LAS  PARTES"/>
    <s v="TOTALIDAD DEL INMUEBLE"/>
    <d v="2026-06-12T00:00:00"/>
    <s v="SI"/>
    <s v="SE NOTIFICA A CLIENTE EL RECORDATORIO DE SU PAGO PUNTUAL DE SU CONVENIO."/>
    <s v="ALTO"/>
    <s v="CON VOLUNTAD DE PAGO/ CON CAPACIDAD"/>
    <s v="CON NEGOCIACIÓN"/>
  </r>
  <r>
    <x v="6"/>
    <s v="NIÑO DE GUZMAN/HUAMANI,ALEXANDER"/>
    <s v="MOROTE/CONDORPUSA,MISHELL"/>
    <s v="LORENA PRADA GONZALES"/>
    <s v="ALVAREZ DE LA O, PABLO ANTONIO JESUS"/>
    <s v="107074101001125669"/>
    <n v="10949.49"/>
    <s v="SOLES"/>
    <d v="2023-10-18T00:00:00"/>
    <s v="74000010389"/>
    <s v="IRRECUPERABLE"/>
    <s v="13,482.17"/>
    <s v="LIMA"/>
    <s v="3 JUZGADO DE PAZ LETRADO LA VICTORIA"/>
    <x v="1"/>
    <m/>
    <m/>
    <m/>
    <x v="2"/>
    <s v="Obligación de dar suma de dinero"/>
    <d v="2023-10-18T00:00:00"/>
    <s v="00858-2023-0-1814-JP-CO-03"/>
    <s v="SENTENCIA O AUTO FINAL"/>
    <s v="NINGUNO"/>
    <s v="27/07/2024RES 04: DA CUENTA DE LA DEVOLUCION DE LA CEDULA."/>
    <s v="NINGUNO"/>
    <d v="2026-06-12T00:00:00"/>
    <s v="SI"/>
    <s v="SE NOTIFICA A CLIENTE EN SU VIVIENDA 2 PISOS MAYOLICA MARRON"/>
    <s v="BAJO"/>
    <s v="SINVOLUNTAD DE PAGO/ SIN CAPACIDAD DE PAGO"/>
    <s v="SIN NEGOCIACIÓN"/>
  </r>
  <r>
    <x v="6"/>
    <s v="NIÑO DE GUZMAN/HUAMANI,ALEXANDER"/>
    <s v="MOROTE/CONDORPUSA,MISHELL"/>
    <s v="LORENA PRADA GONZALES"/>
    <s v="AQUIJE VALLE, RIVELINO CESAR"/>
    <s v="107074101001999814"/>
    <n v="21279.82"/>
    <s v="SOLES"/>
    <d v="2025-12-05T00:00:00"/>
    <s v="74000018112"/>
    <s v="RECUPERABLE"/>
    <s v="23,653.17"/>
    <s v="LIMA"/>
    <s v="JUZGADO DE PAZ LETRADO CIVL DE SAN JUAN DE MIRAFLORES"/>
    <x v="0"/>
    <d v="2025-12-05T00:00:00"/>
    <s v="00035-2026-59-1875-JP-CI-01"/>
    <n v="72871"/>
    <x v="0"/>
    <m/>
    <m/>
    <m/>
    <m/>
    <s v="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
    <m/>
    <s v="TOTALIDAD DEL INMUEBLE"/>
    <d v="2026-06-15T00:00:00"/>
    <s v="SI"/>
    <s v="SE ENTREGA REQUERIMIENTO EN DOMICILIO"/>
    <s v="MEDIO"/>
    <s v="SINVOLUNTAD DE PAGO/ SIN CAPACIDAD DE PAGO"/>
    <s v="SIN NEGOCIACIÓN"/>
  </r>
  <r>
    <x v="6"/>
    <s v="NIÑO DE GUZMAN/HUAMANI,ALEXANDER"/>
    <s v="MOROTE/CONDORPUSA,MISHELL"/>
    <s v="LORENA PRADA GONZALES"/>
    <s v="ARCE COLLANTES, SANDRA KATERINE"/>
    <s v="107074101001064097"/>
    <n v="2014.25"/>
    <s v="SOLES"/>
    <d v="2023-05-22T00:00:00"/>
    <s v="74000009855"/>
    <s v="RECUPERABLE"/>
    <s v="21,487.00"/>
    <s v="LIMA"/>
    <s v="2 JUZGADO DE PAZ LETRADO SAN MIGUEL"/>
    <x v="0"/>
    <d v="2023-05-22T00:00:00"/>
    <s v="00273-2023-59-1824-JP-CI-02"/>
    <s v="CC: 605858"/>
    <x v="1"/>
    <s v="Obligación de dar suma de dinero"/>
    <d v="2024-02-06T00:00:00"/>
    <s v="00273-2023-0-1824-JP-CI-02"/>
    <s v="SENTENCIA O AUTO FINAL"/>
    <s v="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
    <s v="20/03/2026 ESCRITO: CONSENTIMIENTO Y REQUERIMIENTO"/>
    <s v="TOTALIDAD DEL INMUEBLE"/>
    <d v="2026-06-12T00:00:00"/>
    <s v="SI"/>
    <s v="SE NOTIFICA A CLIENTE EL RECORDATORIO DE SU PAGO PUNTUAL DE SU CONVENIO."/>
    <s v="MEDIO"/>
    <s v="SINVOLUNTAD DE PAGO/ SIN CAPACIDAD DE PAGO"/>
    <s v="SIN NEGOCIACIÓN"/>
  </r>
  <r>
    <x v="6"/>
    <s v="NIÑO DE GUZMAN/HUAMANI,ALEXANDER"/>
    <s v="MOROTE/CONDORPUSA,MISHELL"/>
    <s v="LORENA PRADA GONZALES"/>
    <s v="ASTORAYME ASCONA, MARILYN"/>
    <s v="107074101001792209"/>
    <n v="0"/>
    <s v="SOLES"/>
    <d v="2024-04-13T00:00:00"/>
    <s v="74000016242"/>
    <s v="RECUPERABLE"/>
    <s v="13,812,91"/>
    <s v="LIMA"/>
    <s v="3 JUZGADO DE PAZ LETRADO LINCE SAN ISIDRO"/>
    <x v="0"/>
    <d v="2024-04-12T00:00:00"/>
    <s v="00668-2024-22-1820-JP-CI-03"/>
    <n v="809543"/>
    <x v="1"/>
    <s v="Obligación de dar suma de dinero"/>
    <d v="2024-08-28T00:00:00"/>
    <s v="00668-2024-0-1802-JP-CI-03"/>
    <s v="SENTENCIA O AUTO FINAL"/>
    <s v="LA TOTALIDAD DEL INMUEBLE POR PARTE DEL FIADOR ASCONA VIOLETA PAULINA, P: 03196161, UNICADO EN AA.HH LAS FLORES DE VILLA MZ. K1 LT. 21, SAN JUAN DE MIRAFLORES, LIMA"/>
    <s v="22/10/2024RES 02: AUTO FINAL"/>
    <s v="TOTALIDAD DEL INMUEBLE"/>
    <d v="2026-06-26T00:00:00"/>
    <s v="SI"/>
    <s v="SE NOTIFICA A CLIENTE EL RECORDATORIO DE SU PAGO PUNTUAL DE SU CONVENIO."/>
    <s v="MEDIO"/>
    <s v="CON VOLUNTAD DE PAGO/ CON CAPACIDAD"/>
    <s v="CON NEGOCIACIÓN"/>
  </r>
  <r>
    <x v="6"/>
    <s v="NIÑO DE GUZMAN/HUAMANI,ALEXANDER"/>
    <s v="MOROTE/CONDORPUSA,MISHELL"/>
    <s v="LORENA PRADA GONZALES"/>
    <s v="AUTOMIKS TALLER AUTOMOTRIZ E.I.R.L."/>
    <s v="107074101002161246"/>
    <n v="17260.330000000002"/>
    <s v="SOLES"/>
    <d v="2025-09-03T00:00:00"/>
    <s v="74000019586"/>
    <s v="RECUPERABLE"/>
    <s v="19,411.84"/>
    <s v="LIMA"/>
    <s v="3° JUZGADO DE PAZ LETRADO BARRANCO Y MIRAFLORES"/>
    <x v="0"/>
    <d v="2025-09-01T00:00:00"/>
    <s v="03888-2025-12-1866-JP-CI-03"/>
    <n v="3099"/>
    <x v="1"/>
    <s v="Obligación de dar suma de dinero"/>
    <d v="2025-12-04T00:00:00"/>
    <s v="03888-2025-0-1809-JP-CI-03"/>
    <s v="ADMISION"/>
    <s v="TOTALIDAD DEL BIEN INMUEBLE QUE LE CORRESPONDEN AL FIADOR MINAYA BARRERA, LUIS ENRIQUE UBICADO EN DEPARTAMENTO Nº 5 CON INGRESO POR PASAJE EL PARAISO Nº 129 , MIRAFLORES,LIMA,LIMA INSCRITO EN LA PARTIDA ELECTRONICA Nº 41605065"/>
    <s v="18/05/2026 REA 03: SOBRECARTESE A LAS PARTES"/>
    <s v="TOTALIDAD DEL INMUEBLE"/>
    <d v="2026-06-26T00:00:00"/>
    <s v="SI"/>
    <s v="SE ENTREGA REQUERIMIENTO EN DOMICILIO"/>
    <s v="MEDIO"/>
    <s v="SINVOLUNTAD DE PAGO/ SIN CAPACIDAD DE PAGO"/>
    <s v="SIN NEGOCIACIÓN"/>
  </r>
  <r>
    <x v="6"/>
    <s v="NIÑO DE GUZMAN/HUAMANI,ALEXANDER"/>
    <s v="MOROTE/CONDORPUSA,MISHELL"/>
    <s v="LORENA PRADA GONZALES"/>
    <s v="CHUMBE ALEGRE, PIER ANNETTA"/>
    <s v="107074101001393345"/>
    <n v="8644"/>
    <s v="SOLES"/>
    <d v="2025-04-30T00:00:00"/>
    <s v="TESTIMONIO"/>
    <s v="RECUPERABLE"/>
    <s v="52,043.72"/>
    <s v="LIMA"/>
    <s v="1°JUZGADO CIVIL-COMERCIAL DE LIMA"/>
    <x v="1"/>
    <m/>
    <m/>
    <m/>
    <x v="2"/>
    <s v="Ejecución de garantía"/>
    <d v="2025-04-29T00:00:00"/>
    <s v="09428-2025-0-1828-JR-CO-01"/>
    <s v="ADMISION"/>
    <s v="CIUDAD SOL DE COLLIQUE - BLOCK 9 DEPARTAMENTO N°502 - QUINTO PISO PASAJE 3, NUMERO 197, FUNDO CHACRA CERRO - ETAPA VII COMAS, PROVINCIA Y DEPARTAMENTO DE LIMA."/>
    <s v="10/09/2025ESCRITO: ABSUELVO TRASLADO CROQUIS"/>
    <s v="TOTALIDAD DEL INMUEBLE"/>
    <d v="2026-06-12T00:00:00"/>
    <s v="SI"/>
    <s v="SE NOTIFICA A CLIENTE SE NOTIFICA EN RECEPCION YA QUE ES CONJUNTO RESEDENCIAL CON TORRES."/>
    <s v="ALTO"/>
    <s v="CON VOLUNTAD DE PAGO/ CON CAPACIDAD"/>
    <s v="CON NEGOCIACIÓN"/>
  </r>
  <r>
    <x v="6"/>
    <s v="NIÑO DE GUZMAN/HUAMANI,ALEXANDER"/>
    <s v="MOROTE/CONDORPUSA,MISHELL"/>
    <s v="LORENA PRADA GONZALES"/>
    <s v="CONDEZO LEON, ROSA"/>
    <s v="107074101001608015"/>
    <n v="29248.14"/>
    <s v="SOLES"/>
    <d v="2025-05-12T00:00:00"/>
    <s v="TESTIMONIO"/>
    <s v="RECUPERABLE"/>
    <s v="52,209,83"/>
    <s v="LIMA"/>
    <s v="17°JUZGADO CIVIL-COMERCIAL DE LIMA"/>
    <x v="1"/>
    <m/>
    <m/>
    <m/>
    <x v="2"/>
    <s v="Ejecución de garantía"/>
    <d v="2025-05-05T00:00:00"/>
    <s v="09778-2025-0-1828-JR-CO-17"/>
    <s v="ADMISION"/>
    <s v="PUEBLO JOVEN INTEGRACION MZ. E LT. 18, CHORRILLOS, LIMA, LIMA cuyo dominio corre inscrito en la partida electrónica N° P03070062 del Registro de Propiedad Inmueble de Lima, hipotecado a nuestro favor por la suma ascendente a S/. 120.000.00 SOLES."/>
    <s v="09/03/2025 RES 06: SE SUSPENDE EL PROCESO A PEDIDO DEL DEMANDANTE"/>
    <s v="TOTALIDAD DEL INMUEBLE"/>
    <d v="2026-06-26T00:00:00"/>
    <s v="SI"/>
    <s v="SE NOTIFICA A CLIENTE EN SU VIVIENDA CASA 1 PISOS PRECARIO"/>
    <s v="ALTO"/>
    <s v="CON VOLUNTAD DE PAGO/ CON CAPACIDAD"/>
    <s v="CON NEGOCIACIÓN"/>
  </r>
  <r>
    <x v="6"/>
    <s v="NIÑO DE GUZMAN/HUAMANI,ALEXANDER"/>
    <s v="MOROTE/CONDORPUSA,MISHELL"/>
    <s v="LORENA PRADA GONZALES"/>
    <s v="CORPORACION FARMACOLOGICA JJ SALUD SAC"/>
    <s v="107074101000710276"/>
    <n v="309260.58"/>
    <s v="SOLES"/>
    <d v="2023-10-25T00:00:00"/>
    <s v="TESTIMONIO"/>
    <s v="RECUPERABLE"/>
    <s v="335,693.92"/>
    <s v="LIMA"/>
    <s v="9° JUZGADO CIVIL COMERCIAL LIMA"/>
    <x v="1"/>
    <m/>
    <m/>
    <m/>
    <x v="2"/>
    <s v="Ejecución de garantía"/>
    <d v="2023-10-23T00:00:00"/>
    <s v="23529-2023-0-1817-JR-CO-09"/>
    <s v="EJECUCION / ETAPA DE REMATE"/>
    <s v="PARCELA N° 10533M QUE FORMÓ PARTE DEL PREDIO ''PACHINGA'', DISTRITO DE SAN ANDRÉS, PROVINCIA DE PISCO, DEPARTAMENTO DE ICA, INMUEBLE INSCRITO EN LA PARTIDA ELECTRÓNICA N° 40004050 DEL REGISTRO DE PROPIEDAD INMUEBLE DE SEDE ICA-OFICINA REGISTRAL DE PISCO"/>
    <s v="20/01/2026 ESCRITO: SOLICITO DESIGNACION DE PERITOS"/>
    <s v="TOTALIDAD DEL INMUEBLE"/>
    <d v="2026-06-22T00:00:00"/>
    <s v="SI"/>
    <s v="SE NOTIFICA A CLIENTE EN SU VIVIENDA CASA 4 PISOS COLOR VERDE"/>
    <s v="ALTO"/>
    <s v="SINVOLUNTAD DE PAGO/ SIN CAPACIDAD DE PAGO"/>
    <s v="SIN NEGOCIACIÓN"/>
  </r>
  <r>
    <x v="6"/>
    <s v="NIÑO DE GUZMAN/HUAMANI,ALEXANDER"/>
    <s v="MOROTE/CONDORPUSA,MISHELL"/>
    <s v="LORENA PRADA GONZALES"/>
    <s v="CORPORACION SANCHEZ H S.A.C."/>
    <s v="107074101001149687"/>
    <n v="47934.25"/>
    <s v="SOLES"/>
    <d v="2023-12-27T00:00:00"/>
    <s v="74000010605"/>
    <s v="RECUPERABLE"/>
    <s v="84,164.49"/>
    <s v="LIMA NORTE"/>
    <s v="4 JUZ. CIVIL COMAS"/>
    <x v="0"/>
    <d v="2023-12-27T00:00:00"/>
    <s v="04403-2023-1-0901-JR-CI-04"/>
    <s v="CC 753538"/>
    <x v="1"/>
    <s v="Obligación de dar suma de dinero"/>
    <d v="2024-07-09T00:00:00"/>
    <s v="04403-2023-0-0901-JR-CI-04"/>
    <s v="SENTENCIA O AUTO FINAL"/>
    <s v="TOTALIDAD DEL INMUEBLE DE PROPIEDAD DE LA AVAL (REPRESENTANTE LEGAL DE LA EMPRESA) SANTA LUCIA SANCHEZ VALDERRAMA UBICADO EN UNIDAD INMOBILIARIA N°5 CUARTO PISO MANZANA P LOTE 29 URB. POPULAR DE INTERES SOCIAL HUAQUILLAY SEGUNDA ETAPA, DISTRITO DE COMAS PE 14682601"/>
    <s v="25/09/2024RES 02: AUTO FINAL"/>
    <s v="TOTALIDAD DEL INMUEBLE"/>
    <d v="2026-06-12T00:00:00"/>
    <s v="SI"/>
    <s v="SE NOTIFICA A CLIENTE EL RECORDATORIO DE SU PAGO PUNTUAL DE SU CONVENIO."/>
    <s v="MEDIO"/>
    <s v="CON VOLUNTAD DE PAGO/ CON CAPACIDAD"/>
    <s v="CON NEGOCIACIÓN"/>
  </r>
  <r>
    <x v="6"/>
    <s v="NIÑO DE GUZMAN/HUAMANI,ALEXANDER"/>
    <s v="MOROTE/CONDORPUSA,MISHELL"/>
    <s v="LORENA PRADA GONZALES"/>
    <s v="CORPORACION TOLENTINI T &amp; J S.A."/>
    <s v="107074101001152621"/>
    <n v="37703.599999999999"/>
    <s v="SOLES"/>
    <d v="2024-01-29T00:00:00"/>
    <s v="74000010629"/>
    <s v="IRRECUPERABLE"/>
    <s v="86,146.34"/>
    <s v="LIMA ESTE"/>
    <s v="3 JUZGADO CIVIL SAN JUAN DE LURIGANCHO"/>
    <x v="1"/>
    <m/>
    <m/>
    <m/>
    <x v="2"/>
    <s v="Obligación de dar suma de dinero"/>
    <d v="2024-01-24T00:00:00"/>
    <s v="00323-2024-0-3207-JR-CI-03"/>
    <s v="SENTENCIA O AUTO FINAL"/>
    <s v="NINGUNO"/>
    <s v="19/03/2026 RES 06: CONSENTIDO AUTO FINAL"/>
    <s v="NINGUNO"/>
    <d v="2026-06-12T00:00:00"/>
    <s v="SI"/>
    <s v="SE NOTIFICA A CLIENTE EN SU VIVIENDA 5 PISOS COLOR BLANCO"/>
    <s v="MEDIO"/>
    <s v="SINVOLUNTAD DE PAGO/ SIN CAPACIDAD DE PAGO"/>
    <s v="SIN NEGOCIACIÓN"/>
  </r>
  <r>
    <x v="6"/>
    <s v="NIÑO DE GUZMAN/HUAMANI,ALEXANDER"/>
    <s v="MOROTE/CONDORPUSA,MISHELL"/>
    <s v="LORENA PRADA GONZALES"/>
    <s v="CREACIONES A. YKEDA S.A.C"/>
    <s v="107074101001122597"/>
    <n v="23804.34"/>
    <s v="SOLES"/>
    <d v="2023-09-22T00:00:00"/>
    <s v="74000010359"/>
    <s v="RECUPERABLE"/>
    <s v="50,324.61"/>
    <s v="LIMA"/>
    <s v="2 JUZGADO CIVIL COMERCIAL DE LIMA"/>
    <x v="0"/>
    <d v="2023-09-20T00:00:00"/>
    <s v="19814-2023-19-1817-JR-CO-02"/>
    <n v="875139"/>
    <x v="1"/>
    <s v="Obligación de dar suma de dinero"/>
    <d v="2024-04-11T00:00:00"/>
    <s v="19814-2023-0-1817-JR-CO-02"/>
    <s v="SENTENCIA O AUTO FINAL"/>
    <s v="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
    <s v="28/05/2026 ESCRITO: CONSENTIMIENTO Y REQUERIMIENTO"/>
    <s v="EXPECTATICIOS"/>
    <d v="2026-06-12T00:00:00"/>
    <s v="SI"/>
    <s v="SE NOTIFICA A CLIENTE EL RECORDATORIO DE SU PAGO PUNTUAL DE SU CONVENIO."/>
    <s v="MEDIO"/>
    <s v="CON VOLUNTAD DE PAGO/ CON CAPACIDAD"/>
    <s v="SIN NEGOCIACIÓN"/>
  </r>
  <r>
    <x v="6"/>
    <s v="NIÑO DE GUZMAN/HUAMANI,ALEXANDER"/>
    <s v="MOROTE/CONDORPUSA,MISHELL"/>
    <s v="LORENA PRADA GONZALES"/>
    <s v="CRUZ PEÑA, BETTY"/>
    <s v="107074101001595014"/>
    <n v="25097.91"/>
    <s v="SOLES"/>
    <d v="2023-08-10T00:00:00"/>
    <s v="74000014473"/>
    <s v="IRRECUPERABLE"/>
    <s v="26,961.48"/>
    <s v="LIMA NORTE"/>
    <s v="10 JUZGADO DE PAZ LETRADO SAN MARTIN"/>
    <x v="0"/>
    <d v="2023-08-08T00:00:00"/>
    <s v="03375-2023-1-0907-JP-CI-10"/>
    <n v="70958"/>
    <x v="1"/>
    <s v="Obligación de dar suma de dinero"/>
    <d v="2024-07-22T00:00:00"/>
    <s v="03375-2023-0-0907-JP-CI-10"/>
    <s v="SENTENCIA O AUTO FINAL"/>
    <s v="ACCIONES Y DERECHOS DE PROPIEDAD DE LA TITULAR INMUEBLE UBICADO EN SECCION INMOBILIARIA N°2 PRIMER PISO LOTE 4 DE LA MANZANA T CON FRENTE A CALLE TRES DE OCTUBRE URB MESA REDONDA SEGUNDA ETAPA SAN MARTIN DE PORRES PE 13524819"/>
    <s v="15/05/2026 RES 11: SE ORDENA QUE SE APERSONEN 2 PERITOS"/>
    <s v="ACCIONES Y DERECHOS"/>
    <d v="2026-06-26T00:00:00"/>
    <s v="SI"/>
    <s v="SE NOTIFICA A CLIENTE EN SU VIVIENDA 6 PISOS COLOR MARRO Y PLOMO"/>
    <s v="BAJO"/>
    <s v="SINVOLUNTAD DE PAGO/ SIN CAPACIDAD DE PAGO"/>
    <s v="SIN NEGOCIACIÓN"/>
  </r>
  <r>
    <x v="6"/>
    <s v="NIÑO DE GUZMAN/HUAMANI,ALEXANDER"/>
    <s v="MOROTE/CONDORPUSA,MISHELL"/>
    <s v="LORENA PRADA GONZALES"/>
    <s v="DELGADO CARRERA, GIANCARLO RENZO"/>
    <s v="107074101001510031"/>
    <n v="0"/>
    <s v="SOLES"/>
    <d v="2023-08-10T00:00:00"/>
    <s v="74000013698"/>
    <s v="RECUPERABLE"/>
    <s v="32,734.39"/>
    <s v="LIMA SUR"/>
    <s v="JUZGADO DE PAZ LETRADO CIVL DE SAN JUAN DE MIRAFLORES"/>
    <x v="0"/>
    <d v="2023-08-08T00:00:00"/>
    <s v="00693-2023-63-3002-JP-CI-02"/>
    <n v="470936"/>
    <x v="1"/>
    <s v="Obligación de dar suma de dinero"/>
    <d v="2023-10-30T00:00:00"/>
    <s v="00693-2023-0-3002-JP-CI-02"/>
    <s v="SENTENCIA O AUTO FINAL"/>
    <s v="TOTALIDAD DEL INMUEBLE DE PROPIEDAD DE LA AVAL CARRERA SERRANO GLORIA, CÓDIGO DE PREDIO P03216003, CON DIRECCIÓN ASENTAMIENTO HUMANO LOS GIRASOLES DE PAMPLONA ALTA MZ. Ñ2 LOTE 28, SAN JUAN DE MIRAFLORES."/>
    <s v="17/06/2025RES 05: AUTO FINAL"/>
    <s v="TOTALIDAD DEL INMUEBLE"/>
    <d v="2026-06-12T00:00:00"/>
    <s v="SI"/>
    <s v="SE NOTIFICA A CLIENTE EL RECORDATORIO DE SU PAGO PUNTUAL DE SU CONVENIO."/>
    <s v="MEDIO"/>
    <s v="CON VOLUNTAD DE PAGO/ CON CAPACIDAD"/>
    <s v="CON NEGOCIACIÓN"/>
  </r>
  <r>
    <x v="6"/>
    <s v="NIÑO DE GUZMAN/HUAMANI,ALEXANDER"/>
    <s v="MOROTE/CONDORPUSA,MISHELL"/>
    <s v="LORENA PRADA GONZALES"/>
    <s v="EGUSQUIZA MEDINA, SARA NOEMI"/>
    <s v="107074101001983841"/>
    <n v="3652.8"/>
    <s v="SOLES"/>
    <d v="2024-12-27T00:00:00"/>
    <s v="74000017970"/>
    <s v="RECUPERABLE"/>
    <s v="19,729,50"/>
    <s v="LIMA"/>
    <s v="2 JUZGADO DE PAZ LETRADO BARRANCO - MIRAFLORES"/>
    <x v="0"/>
    <d v="2024-12-26T00:00:00"/>
    <s v="05740-2024-37-1866-JP-CI-02"/>
    <n v="445937"/>
    <x v="1"/>
    <s v="Obligación de dar suma de dinero"/>
    <d v="2025-01-22T00:00:00"/>
    <s v="05740-2024-0-1809-JP-CI-02"/>
    <s v="SENTENCIA O AUTO FINAL"/>
    <s v="LA TOTALIDAD DEL BIEN (1 RANGO) QUE LE CORRESPONDE AL TITULAR Y A CARBONEL MONTEZA, LUIS RICARDO EN LA P: P01329669 UBICADO EN AA.HH EL GOLF DE SANTA ROSA MZ R1 LT 1, SANTA ROSA LIMA."/>
    <s v="17/11/2025RES 02: AUTO FINAL"/>
    <s v="TOTALIDAD DEL INMUEBLE"/>
    <d v="2026-06-26T00:00:00"/>
    <s v="SI"/>
    <s v="SE NOTIFICA A CLIENTE EL RECORDATORIO DE SU PAGO PUNTUAL DE SU CONVENIO."/>
    <s v="MEDIO"/>
    <s v="CON VOLUNTAD DE PAGO/ CON CAPACIDAD"/>
    <s v="CON NEGOCIACIÓN"/>
  </r>
  <r>
    <x v="6"/>
    <s v="NIÑO DE GUZMAN/HUAMANI,ALEXANDER"/>
    <s v="MOROTE/CONDORPUSA,MISHELL"/>
    <s v="LORENA PRADA GONZALES"/>
    <s v="ESCOBAR VASQUEZ, ORLANDO"/>
    <s v="107074101001086221"/>
    <n v="10443.379999999999"/>
    <s v="SOLES"/>
    <d v="2021-12-31T00:00:00"/>
    <s v="74000010039"/>
    <s v="IRRECUPERABLE"/>
    <s v="10,443.38"/>
    <s v="LIMA"/>
    <s v="2 JUZGADO DE PAZ LETRADO SURQUILLO"/>
    <x v="1"/>
    <m/>
    <m/>
    <m/>
    <x v="2"/>
    <s v="Obligación de dar suma de dinero"/>
    <d v="2021-09-24T00:00:00"/>
    <s v="00447-2021-0-1825-JP-CI-02"/>
    <s v="SENTENCIA O AUTO FINAL"/>
    <s v="NINGUNO"/>
    <s v="16/05/2024RES 05: NOTIFICANDOSE"/>
    <s v="NINGUNO"/>
    <d v="2026-06-12T00:00:00"/>
    <s v="SI"/>
    <s v="SE NOTIFICA A CLIENTE EN SU VIVIENDA 2 PISOS CELESTE"/>
    <s v="BAJO"/>
    <s v="SINVOLUNTAD DE PAGO/ SIN CAPACIDAD DE PAGO"/>
    <s v="SIN NEGOCIACIÓN"/>
  </r>
  <r>
    <x v="6"/>
    <s v="NIÑO DE GUZMAN/HUAMANI,ALEXANDER"/>
    <s v="MOROTE/CONDORPUSA,MISHELL"/>
    <s v="LORENA PRADA GONZALES"/>
    <s v="ESPINOZA MARCOS, PAOLA WENDY"/>
    <s v="107074101001378126"/>
    <n v="6156.57"/>
    <s v="SOLES"/>
    <d v="2023-10-18T00:00:00"/>
    <s v="TESTIMONIO"/>
    <s v="RECUPERABLE"/>
    <s v="33,876.26"/>
    <s v="LIMA"/>
    <s v="13°JUZGADO CIVIL-COMERCIAL DE LIMA"/>
    <x v="1"/>
    <m/>
    <m/>
    <m/>
    <x v="2"/>
    <s v="Ejecución de garantía"/>
    <d v="2023-09-25T00:00:00"/>
    <s v="20297-2023-0-1817-JR-CO-13"/>
    <s v="SENTENCIA O AUTO FINAL"/>
    <s v="CALLE SEVILLA N° 263-267 URBANIZACIÓN RESIDENCIA HIGUERETA TERCER PISO, DISTRITO DE SANTIAGO DE SURCO, PROVINCIA Y DEPARTAMENTO DE LIMA, PARTIDA ELECTRONICA N° 11304623, DEL REGISTRO DE PROPIEDAD INMUEBLE DE LIMA"/>
    <s v="27/04/2026 ESCRITO: ABSUELVO TRASLADO"/>
    <s v="TOTALIDAD DEL INMUEBLE"/>
    <d v="2026-06-12T00:00:00"/>
    <s v="SI"/>
    <s v="SE NOTIFICA A CLIENTE EL RECORDATORIO DE SU PAGO PUNTUAL DE SU CONVENIO."/>
    <s v="ALTO"/>
    <s v="SINVOLUNTAD DE PAGO/ SIN CAPACIDAD DE PAGO"/>
    <s v="SIN NEGOCIACIÓN"/>
  </r>
  <r>
    <x v="6"/>
    <s v="NIÑO DE GUZMAN/HUAMANI,ALEXANDER"/>
    <s v="MOROTE/CONDORPUSA,MISHELL"/>
    <s v="LORENA PRADA GONZALES"/>
    <s v="EVENTOS OCAÑA S.A.C."/>
    <s v="107074101001379092"/>
    <n v="30817.19"/>
    <s v="SOLES"/>
    <d v="2025-07-31T00:00:00"/>
    <s v="74000012551"/>
    <s v="IRRECUPERABLE"/>
    <s v="34,393,03"/>
    <s v="LIMA"/>
    <s v="3 JUZGADO DE PAZ LETRADO LINCE SAN ISIDRO"/>
    <x v="1"/>
    <m/>
    <m/>
    <m/>
    <x v="2"/>
    <s v="Obligación de dar suma de dinero"/>
    <d v="2025-07-31T00:00:00"/>
    <s v="01214-2025-0-1820-JP-CI-03"/>
    <s v="SENTENCIA O AUTO FINAL"/>
    <s v="NINGUNO"/>
    <s v="28/04/2026 RES. 03 DECLARA CONSENTIDA LA RES. 02 (AUTO FINAL)"/>
    <s v="NINGUNO"/>
    <d v="2026-06-12T00:00:00"/>
    <s v="SI"/>
    <s v="SE ENTREGA REQUERIMIENTO EN DOMICILIO"/>
    <s v="BAJO"/>
    <s v="SINVOLUNTAD DE PAGO/ SIN CAPACIDAD DE PAGO"/>
    <s v="SIN NEGOCIACIÓN"/>
  </r>
  <r>
    <x v="6"/>
    <s v="NIÑO DE GUZMAN/HUAMANI,ALEXANDER"/>
    <s v="MOROTE/CONDORPUSA,MISHELL"/>
    <s v="LORENA PRADA GONZALES"/>
    <s v="FORTEXS PERU E.I.R.L."/>
    <s v="107074101001153232"/>
    <n v="194654.64"/>
    <s v="SOLES"/>
    <d v="2023-05-27T00:00:00"/>
    <s v="74000010633"/>
    <s v="IRRECUPERABLE"/>
    <s v="333,445.40"/>
    <s v="LIMA ESTE"/>
    <s v="2 JUZGADO CIVIL LA MOLINA"/>
    <x v="1"/>
    <m/>
    <m/>
    <m/>
    <x v="2"/>
    <s v="Obligación de dar suma de dinero"/>
    <d v="2023-05-23T00:00:00"/>
    <s v="02121-2023-0-3204-JR-CI-02"/>
    <s v="SENTENCIA O AUTO FINAL"/>
    <s v="NINGUNO"/>
    <s v="28/06/2024RES 04: APERSONADO"/>
    <s v="NINGUNO"/>
    <d v="2026-06-12T00:00:00"/>
    <s v="SI"/>
    <s v="SE NOTIFICA A CLIENTE EN SU VIVIENDA CASA 3 PISOS COLOR PLOMO MENCIONAN QUE EMPRES YA NO EXISTE"/>
    <s v="BAJO"/>
    <s v="SINVOLUNTAD DE PAGO/ SIN CAPACIDAD DE PAGO"/>
    <s v="SIN NEGOCIACIÓN"/>
  </r>
  <r>
    <x v="6"/>
    <s v="NIÑO DE GUZMAN/HUAMANI,ALEXANDER"/>
    <s v="MOROTE/CONDORPUSA,MISHELL"/>
    <s v="LORENA PRADA GONZALES"/>
    <s v="GUERRA DE LA CRUZ, MERCEDES"/>
    <s v="107074101001973375"/>
    <n v="75158.48"/>
    <s v="SOLES"/>
    <d v="2024-10-15T00:00:00"/>
    <s v="74000017874"/>
    <s v="RECUPERABLE"/>
    <s v="129,505,96"/>
    <s v="LIMA"/>
    <s v="14° JUZGADO COMERCIAL DE LIMA"/>
    <x v="0"/>
    <d v="2024-07-22T00:00:00"/>
    <s v="22664-2024-15-1828-JR-CO-14"/>
    <n v="296864"/>
    <x v="1"/>
    <s v="Obligación de dar suma de dinero"/>
    <d v="2024-09-10T00:00:00"/>
    <s v="22664-2024-0-1817-JR-CO-14"/>
    <s v="SENTENCIA O AUTO FINAL"/>
    <s v="LA TOTALIDAD DEL BIEN INMUBLE DEL TITULAR, P: P02186084, UBICADO EN PUEBLO JOVEN SIMON BOLIVAR MZ B LT 11, SAN JUAN DE LURIGANCHO, LIMA, LIMA"/>
    <s v="28/05/2026 ESCRITO; INFORMAMOS CONVENIO DE PAGO"/>
    <s v="TOTALIDAD DEL INMUEBLE"/>
    <d v="2026-06-26T00:00:00"/>
    <s v="SI"/>
    <s v="SE NOTIFICA A CLIENTE EL RECORDATORIO DE SU PAGO PUNTUAL DE SU CONVENIO."/>
    <s v="MEDIO"/>
    <s v="CON VOLUNTAD DE PAGO/ CON CAPACIDAD"/>
    <s v="CON NEGOCIACIÓN"/>
  </r>
  <r>
    <x v="6"/>
    <s v="NIÑO DE GUZMAN/HUAMANI,ALEXANDER"/>
    <s v="MOROTE/CONDORPUSA,MISHELL"/>
    <s v="LORENA PRADA GONZALES"/>
    <s v="HUARHUA VELA, FLOR DE MARIA"/>
    <s v="107024101005840214"/>
    <n v="13440.25"/>
    <s v="SOLES"/>
    <d v="2024-12-27T00:00:00"/>
    <s v="24000054030"/>
    <s v="RECUPERABLE"/>
    <s v="21,009,32"/>
    <s v="LIMA"/>
    <s v="3 JUZGADO DE PAZ LETRADO LINCE SAN ISIDRO"/>
    <x v="1"/>
    <m/>
    <m/>
    <m/>
    <x v="2"/>
    <s v="Obligación de dar suma de dinero"/>
    <d v="2024-12-27T00:00:00"/>
    <s v="02459-2024-0-1820-JP-CI-02"/>
    <s v="ADMISION"/>
    <s v="NINGUNO"/>
    <s v="12/05/2026 ESCRITO: ABSUELVO TRASLADO"/>
    <s v="NINGUNO"/>
    <d v="2026-06-24T00:00:00"/>
    <s v="SI"/>
    <s v="SE NOTIFICA A CLIENTE EL RECORDATORIO DE SU PAGO PUNTUAL DE SU CONVENIO."/>
    <s v="BAJO"/>
    <s v="CON VOLUNTAD DE PAGO/ CON CAPACIDAD"/>
    <s v="CON NEGOCIACIÓN"/>
  </r>
  <r>
    <x v="6"/>
    <s v="NIÑO DE GUZMAN/HUAMANI,ALEXANDER"/>
    <s v="MOROTE/CONDORPUSA,MISHELL"/>
    <s v="LORENA PRADA GONZALES"/>
    <s v="INVERSIONES EL PIZZERO S.A.C."/>
    <s v="107074101001382410"/>
    <n v="58430.6"/>
    <s v="SOLES"/>
    <d v="2025-02-26T00:00:00"/>
    <s v="74000012578"/>
    <s v="IRRECUPERABLE"/>
    <s v="85,310,49"/>
    <s v="LIMA"/>
    <s v="13°JUZGADO CIVIL-COMERCIAL DE LIMA"/>
    <x v="1"/>
    <m/>
    <m/>
    <m/>
    <x v="2"/>
    <s v="Obligación de dar suma de dinero"/>
    <d v="2025-02-12T00:00:00"/>
    <s v="03342-2025-0-1828-JR-CO-13"/>
    <s v="SENTENCIA O AUTO FINAL"/>
    <s v="NINGUNO"/>
    <s v="05/05/2026 RES 04: CONSENTIDO AUTO FINAL Y REQUIERASE PAGO"/>
    <s v="NINGUNO"/>
    <d v="2026-06-12T00:00:00"/>
    <s v="SI"/>
    <s v="SE NOTIFICA A CLIENTE EN SU VIVIENDA SE NOTIFICA A AVAL EN SJL CASA 3 PISOS COLOR ROJO"/>
    <s v="BAJO"/>
    <s v="SINVOLUNTAD DE PAGO/ SIN CAPACIDAD DE PAGO"/>
    <s v="SIN NEGOCIACIÓN"/>
  </r>
  <r>
    <x v="6"/>
    <s v="NIÑO DE GUZMAN/HUAMANI,ALEXANDER"/>
    <s v="MOROTE/CONDORPUSA,MISHELL"/>
    <s v="LORENA PRADA GONZALES"/>
    <s v="LAZO QUISPE, HECTOR"/>
    <s v="107074101002106407"/>
    <n v="11528.58"/>
    <s v="SOLES"/>
    <d v="2025-09-25T00:00:00"/>
    <s v="74000019078"/>
    <s v="RECUPERABLE"/>
    <s v="25,003.67"/>
    <s v="LIMA"/>
    <s v="3 JUZGADO DE PAZ LETRADO LINCE SAN ISIDRO"/>
    <x v="1"/>
    <m/>
    <m/>
    <m/>
    <x v="2"/>
    <s v="Obligación de dar suma de dinero"/>
    <d v="2025-09-25T00:00:00"/>
    <s v="01589-2025-0-1820-JP-CI-03"/>
    <s v="ADMISION"/>
    <s v="NINGUNO"/>
    <s v="15/06/2026 ESCRITO: SOLICITO SE PROGRAME HABILITACION"/>
    <s v="NINGUNO"/>
    <d v="2026-06-26T00:00:00"/>
    <s v="SI"/>
    <s v="SE ENTREGA REQUERIMIENTO EN DOMICILIO"/>
    <s v="BAJO"/>
    <s v="CON VOLUNTAD DE PAGO/ CON CAPACIDAD"/>
    <s v="CON NEGOCIACIÓN"/>
  </r>
  <r>
    <x v="6"/>
    <s v="NIÑO DE GUZMAN/HUAMANI,ALEXANDER"/>
    <s v="MOROTE/CONDORPUSA,MISHELL"/>
    <s v="LORENA PRADA GONZALES"/>
    <s v="LAZON SIGÜEÑAS, ANDY PAUL"/>
    <s v="107074101001392047"/>
    <n v="39071.89"/>
    <s v="SOLES"/>
    <d v="2024-05-18T00:00:00"/>
    <s v="TESTIMONIO"/>
    <s v="RECUPERABLE"/>
    <s v="41,749,63"/>
    <s v="LIMA"/>
    <s v="12° JUZGADO CIVIL - COMERCIAL DE LIMA"/>
    <x v="1"/>
    <m/>
    <m/>
    <m/>
    <x v="2"/>
    <s v="Ejecución de garantía"/>
    <d v="2024-05-10T00:00:00"/>
    <s v="15813-2024-0-1828-JR-CO-12"/>
    <s v="EJECUCION /LANZAMIENTO"/>
    <s v="TOTALIDAD DEL BIEN INMUEBLE DEL OBLIGADO PRINCIPAL LAZON SIGUEÑAS, ANDY PAUL UBICADO EN MZ. B4 LOTE 17 LOTIZ/HAB. URB. LA ESTANCIA DEL VALLE- IV ETAPA, DISTRITO DE CHICLAYO, DEPARTAMENTO DE LAMBAYEQUE, INSCRITO EN LA PARTIDA ELECTRONICA Nº 11444893"/>
    <s v="10/04/2026 ESCRITO; PRECISO ORDEN DE PAGO DE ENDOSO"/>
    <s v="TOTALIDAD DEL INMUEBLE"/>
    <d v="2026-06-12T00:00:00"/>
    <s v="SI"/>
    <s v="SE NOTIFICA A CLIENTE EN SU VIVIENDA EN CENTRO DE RIMAC CASA 3 PISOS COLOR CREMA ATIENDE PAPÁ YA SE"/>
    <s v="ALTO"/>
    <s v="SINVOLUNTAD DE PAGO/ SIN CAPACIDAD DE PAGO"/>
    <s v="SIN NEGOCIACIÓN"/>
  </r>
  <r>
    <x v="6"/>
    <s v="NIÑO DE GUZMAN/HUAMANI,ALEXANDER"/>
    <s v="MOROTE/CONDORPUSA,MISHELL"/>
    <s v="LORENA PRADA GONZALES"/>
    <s v="LIGMAC S.A.C."/>
    <s v="107074101001153636"/>
    <n v="29188.16"/>
    <s v="SOLES"/>
    <d v="2024-11-30T00:00:00"/>
    <s v="74000010638"/>
    <s v="IRRECUPERABLE"/>
    <s v="37,503,13"/>
    <s v="LIMA"/>
    <s v="2 JUZGADO DE PAZ LETRADO LINCE SAN ISIDRO"/>
    <x v="1"/>
    <m/>
    <m/>
    <m/>
    <x v="2"/>
    <s v="Obligación de dar suma de dinero"/>
    <d v="2024-11-28T00:00:00"/>
    <s v="02293-2024-0-1820-JP-CI-02"/>
    <s v="SENTENCIA O AUTO FINAL"/>
    <s v="NINGUNO"/>
    <s v="28/05/2026 ESCRITO: REQUERIMIENTO"/>
    <s v="NINGUNO"/>
    <d v="2026-06-12T00:00:00"/>
    <s v="SI"/>
    <s v="SE NOTIFICA A CLIENTE EN SU VIVIENDA YA NO EXISTE NEGOCIO EN MESA REDONDA"/>
    <s v="BAJO"/>
    <s v="SINVOLUNTAD DE PAGO/ SIN CAPACIDAD DE PAGO"/>
    <s v="SIN NEGOCIACIÓN"/>
  </r>
  <r>
    <x v="6"/>
    <s v="NIÑO DE GUZMAN/HUAMANI,ALEXANDER"/>
    <s v="MOROTE/CONDORPUSA,MISHELL"/>
    <s v="LORENA PRADA GONZALES"/>
    <s v="METALS CAREN S.A.C."/>
    <s v="107074101001169851"/>
    <n v="24767.52"/>
    <s v="SOLES"/>
    <d v="2025-01-31T00:00:00"/>
    <s v="74000010770"/>
    <s v="IRRECUPERABLE"/>
    <s v="58,600,57"/>
    <s v="LIMA"/>
    <s v="1°JUZGADO CIVIL-COMERCIAL DE LIMA"/>
    <x v="1"/>
    <m/>
    <m/>
    <m/>
    <x v="2"/>
    <s v="Obligación de dar suma de dinero"/>
    <d v="2025-01-31T00:00:00"/>
    <s v="02516-2025-0-1828-JR-CO-01"/>
    <s v="SENTENCIA O AUTO FINAL"/>
    <s v="NINGUNO"/>
    <s v="20/03/2026 RES 03:CONSENTIDO EL AUTO FINAL"/>
    <s v="NINGUNO"/>
    <d v="2026-06-12T00:00:00"/>
    <s v="SI"/>
    <s v="SE NOTIFICA A CLIENTE EN SU VIVIENDA 1 PISO PORTON NEGRO"/>
    <s v="BAJO"/>
    <s v="SINVOLUNTAD DE PAGO/ SIN CAPACIDAD DE PAGO"/>
    <s v="SIN NEGOCIACIÓN"/>
  </r>
  <r>
    <x v="6"/>
    <s v="NIÑO DE GUZMAN/HUAMANI,ALEXANDER"/>
    <s v="MOROTE/CONDORPUSA,MISHELL"/>
    <s v="LORENA PRADA GONZALES"/>
    <s v="MONTEZA SAAVEDRA, VICTOR AUGUSTO"/>
    <s v="107074101001366379"/>
    <n v="120000"/>
    <s v="SOLES"/>
    <d v="2025-02-26T00:00:00"/>
    <s v="74000012434"/>
    <s v="IRRECUPERABLE"/>
    <s v="172,751,14"/>
    <s v="LIMA"/>
    <s v="17°JUZGADO CIVIL-COMERCIAL DE LIMA"/>
    <x v="1"/>
    <m/>
    <m/>
    <m/>
    <x v="2"/>
    <s v="Obligación de dar suma de dinero"/>
    <d v="2025-02-12T00:00:00"/>
    <s v="03340-2025-0-1828-JR-CO-17"/>
    <s v="SENTENCIA O AUTO FINAL"/>
    <s v="NINGUNO"/>
    <s v="28/05/2026 RES 04: AUTO FINAL"/>
    <s v="NINGUNO"/>
    <d v="2026-06-12T00:00:00"/>
    <s v="SI"/>
    <s v="SE NOTIFICA A CLIENTE EN SU VIVIENDA 3 PISOS COLOR BEICHE PORTON DE MADERA"/>
    <s v="BAJO"/>
    <s v="SINVOLUNTAD DE PAGO/ SIN CAPACIDAD DE PAGO"/>
    <s v="SIN NEGOCIACIÓN"/>
  </r>
  <r>
    <x v="6"/>
    <s v="NIÑO DE GUZMAN/HUAMANI,ALEXANDER"/>
    <s v="MOROTE/CONDORPUSA,MISHELL"/>
    <s v="LORENA PRADA GONZALES"/>
    <s v="MOTOS DIVALKA SOCIEDAD ANONIMA CERRADA"/>
    <s v="107074101001153434"/>
    <n v="119112.55"/>
    <s v="SOLES"/>
    <d v="2023-11-17T00:00:00"/>
    <s v="74000010635"/>
    <s v="IRRECUPERABLE"/>
    <s v="138,333.54"/>
    <s v="LIMA SUR"/>
    <s v="JUZGADO ESPECIALIZADO CIVIL DE SAN JUAN DE MIRAFLORES"/>
    <x v="1"/>
    <m/>
    <m/>
    <m/>
    <x v="2"/>
    <s v="Obligación de dar suma de dinero"/>
    <d v="2023-11-17T00:00:00"/>
    <s v="00769-2023-0-3002-JR-CI-01"/>
    <s v="SENTENCIA O AUTO FINAL"/>
    <s v="NINGUNO"/>
    <s v="24/07/2024RES 03: CONSENTIDO EL AUTO FINAL"/>
    <s v="NINGUNO"/>
    <d v="2026-06-12T00:00:00"/>
    <s v="SI"/>
    <s v="SE NOTIFICA A CLIENTE EN SU VIVIENDA VENTA MOTOS EN LA AV LOS HEROES BAJO PUERTA"/>
    <s v="BAJO"/>
    <s v="SINVOLUNTAD DE PAGO/ SIN CAPACIDAD DE PAGO"/>
    <s v="SIN NEGOCIACIÓN"/>
  </r>
  <r>
    <x v="6"/>
    <s v="NIÑO DE GUZMAN/HUAMANI,ALEXANDER"/>
    <s v="MOROTE/CONDORPUSA,MISHELL"/>
    <s v="LORENA PRADA GONZALES"/>
    <s v="NEYRA MORALES, ALLISON MISHELL"/>
    <s v="107074101002211597"/>
    <n v="19253.37"/>
    <s v="SOLES"/>
    <d v="2025-11-29T00:00:00"/>
    <s v="74000020043"/>
    <s v="RECUPERABLE"/>
    <s v="21,727.75"/>
    <s v="LIMA SUR"/>
    <s v="JUZGADO DE PAZ LETRADO CIVL DE SAN JUAN DE MIRAFLORES"/>
    <x v="0"/>
    <d v="2025-11-29T00:00:00"/>
    <s v="00937-2025-19-3002-JP-CI-02"/>
    <n v="702702"/>
    <x v="0"/>
    <m/>
    <m/>
    <m/>
    <m/>
    <s v="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
    <m/>
    <s v="TOTALIDAD DEL INMUEBLE"/>
    <d v="2026-06-15T00:00:00"/>
    <s v="SI"/>
    <s v="SE ENTREGA REQUERIMIENTO EN DOMICILIO"/>
    <s v="MEDIO"/>
    <s v="SINVOLUNTAD DE PAGO/ SIN CAPACIDAD DE PAGO"/>
    <s v="SIN NEGOCIACIÓN"/>
  </r>
  <r>
    <x v="6"/>
    <s v="NIÑO DE GUZMAN/HUAMANI,ALEXANDER"/>
    <s v="MOROTE/CONDORPUSA,MISHELL"/>
    <s v="LORENA PRADA GONZALES"/>
    <s v="OBLITAS MEJIA, ENRIQUE OSWALDO"/>
    <s v="107074101001124105"/>
    <n v="33031.800000000003"/>
    <s v="SOLES"/>
    <d v="2025-01-31T00:00:00"/>
    <s v="TESTIMONIO"/>
    <s v="RECUPERABLE"/>
    <s v="37,779,68"/>
    <s v="LIMA"/>
    <s v="7°JUZGADO CIVIL-COMERCIAL DE LIMA"/>
    <x v="1"/>
    <m/>
    <m/>
    <m/>
    <x v="2"/>
    <s v="Ejecución de garantía"/>
    <d v="2025-01-20T00:00:00"/>
    <s v="01488-2025-0-1828-JR-CO-07"/>
    <s v="SENTENCIA O AUTO FINAL"/>
    <s v="TOTALIDAD DEL BIEN INMUEBLE DEL OBLIGADO PRINCIPAL OBLITAS MEJIA,ENRIQUE OSWALDO UBICADO EN MZ. E LOTE 7 LOTIZ./HAB. URB. LA ESTANCIA DEL VALLE III ETAPA, CHICLAYO,PERU CON PARTIDA ELECTRONICA Nº 11369542"/>
    <s v="04/06/2026 RES 05: CONVOCATORIA DE REMATE"/>
    <s v="TOTALIDAD DEL INMUEBLE"/>
    <d v="2026-06-12T00:00:00"/>
    <s v="SI"/>
    <s v="SE NOTIFICA A CLIENTE EN SU VIVIENDA EN LA MOLINA ATIENDE HIJO , MENCIONA QUE DARA MENSAJE A TITULAR"/>
    <s v="ALTO"/>
    <s v="SINVOLUNTAD DE PAGO/ SIN CAPACIDAD DE PAGO"/>
    <s v="SIN NEGOCIACIÓN"/>
  </r>
  <r>
    <x v="6"/>
    <s v="NIÑO DE GUZMAN/HUAMANI,ALEXANDER"/>
    <s v="MOROTE/CONDORPUSA,MISHELL"/>
    <s v="LORENA PRADA GONZALES"/>
    <s v="ORMEÑO VARGAS, JESUS BRAYAN"/>
    <s v="107024101005795370"/>
    <n v="0"/>
    <s v="SOLES"/>
    <d v="2025-01-14T00:00:00"/>
    <s v="24000053632"/>
    <s v="RECUPERABLE"/>
    <s v="27,440,14"/>
    <s v="LIMA"/>
    <s v="2 JUZGADO DE PAZ LETRADO BARRANCO - MIRAFLORES"/>
    <x v="0"/>
    <d v="2025-01-10T00:00:00"/>
    <s v="00089-2025-11-1866-JP-CI-02"/>
    <n v="845854"/>
    <x v="1"/>
    <s v="Obligación de dar suma de dinero"/>
    <d v="2025-06-09T00:00:00"/>
    <s v="00089-2025-0-1809-JP-CI-02"/>
    <s v="SENTENCIA O AUTO FINAL"/>
    <s v="LA TOTALIDAD DEL BIEN VEHICULAR DEL TITULAR MODELO AC540, AÑO 2007 MARCA HYUNDAI, PLACA A1F762, PARTIDA 51804578"/>
    <s v="04/11/2025RES 02: AUTO FINAL"/>
    <s v="TOTALIDAD DEL MUEBLE"/>
    <d v="2026-06-24T00:00:00"/>
    <s v="SI"/>
    <s v="SE NOTIFICA A CLIENTE EL RECORDATORIO DE SU PAGO PUNTUAL DE SU CONVENIO."/>
    <s v="ALTO"/>
    <s v="CON VOLUNTAD DE PAGO/ CON CAPACIDAD"/>
    <s v="CON NEGOCIACIÓN"/>
  </r>
  <r>
    <x v="6"/>
    <s v="NIÑO DE GUZMAN/HUAMANI,ALEXANDER"/>
    <s v="MOROTE/CONDORPUSA,MISHELL"/>
    <s v="LORENA PRADA GONZALES"/>
    <s v="PAREDES RODRIGUEZ, FRANCISCO"/>
    <s v="107074101001120997"/>
    <n v="32000"/>
    <s v="SOLES"/>
    <d v="2023-05-11T00:00:00"/>
    <s v="74000010347"/>
    <s v="IRRECUPERABLE"/>
    <s v="32,000.00"/>
    <s v="LIMA"/>
    <s v="13°JUZGADO CIVIL-COMERCIAL DE LIMA"/>
    <x v="1"/>
    <m/>
    <m/>
    <m/>
    <x v="2"/>
    <s v="Obligación de dar suma de dinero"/>
    <d v="2023-05-09T00:00:00"/>
    <s v="28510-2024-0-1828-JR-CO-13"/>
    <s v="SENTENCIA O AUTO FINAL"/>
    <s v="NINGUNO"/>
    <s v="22/05/2026 RES 05: CONSENTIDO EL AUTO FINAL"/>
    <s v="NINGUNO"/>
    <d v="2026-06-12T00:00:00"/>
    <s v="SI"/>
    <s v="SE NOTIFICA A CLIENTE EN SU VIVIENDA 2 PISOS AZUL PRIMER PISO Y SEGUNDO SIN PINTAR"/>
    <s v="BAJO"/>
    <s v="SINVOLUNTAD DE PAGO/ SIN CAPACIDAD DE PAGO"/>
    <s v="SIN NEGOCIACIÓN"/>
  </r>
  <r>
    <x v="6"/>
    <s v="NIÑO DE GUZMAN/HUAMANI,ALEXANDER"/>
    <s v="MOROTE/CONDORPUSA,MISHELL"/>
    <s v="LORENA PRADA GONZALES"/>
    <s v="PEDRERA DE LA CRUZ, MARIA ADELINA"/>
    <s v="107074101000994919"/>
    <n v="9656.3700000000008"/>
    <s v="SOLES"/>
    <d v="2025-06-05T00:00:00"/>
    <s v="TESTIMONIO"/>
    <s v="RECUPERABLE"/>
    <s v="28,266.64"/>
    <s v="LIMA"/>
    <s v="14° JUZGADO COMERCIAL DE LIMA"/>
    <x v="1"/>
    <m/>
    <m/>
    <m/>
    <x v="2"/>
    <s v="Ejecución de garantía"/>
    <d v="2025-05-16T00:00:00"/>
    <s v="10666-2025-0-1828-JR-CO-14"/>
    <s v="ADMISION"/>
    <s v="ASENTAMIENTO HUMANO FELIPE ALVA Y ALVA MZ K LOTE 7, DISTRITO DE SAN JUAN DE MIRAFLORES, PROVINCIA Y DEPARTAMENTO DE LIMA"/>
    <s v="26/08/2025RES 02: NOTIFIQUESE A TODAS LAS PARTES"/>
    <s v="TOTALIDAD DEL INMUEBLE"/>
    <d v="2026-06-22T00:00:00"/>
    <s v="SI"/>
    <s v="SE ENTREGA REQUERIMIENTO EN DOMICILIO"/>
    <s v="ALTO"/>
    <s v="CON VOLUNTAD DE PAGO/ CON CAPACIDAD"/>
    <s v="CON NEGOCIACIÓN"/>
  </r>
  <r>
    <x v="6"/>
    <s v="NIÑO DE GUZMAN/HUAMANI,ALEXANDER"/>
    <s v="MOROTE/CONDORPUSA,MISHELL"/>
    <s v="LORENA PRADA GONZALES"/>
    <s v="PLETIKOSIC GUZMAN, LUIS ALVARO"/>
    <s v="107074101001652404"/>
    <n v="55189.38"/>
    <s v="SOLES"/>
    <d v="2025-04-30T00:00:00"/>
    <s v="74000014991"/>
    <s v="RECUPERABLE"/>
    <s v="61,027,93"/>
    <s v="LIMA"/>
    <s v="9°JUZGADO CIVIL-COMERCIAL DE LIMA"/>
    <x v="0"/>
    <d v="2025-12-05T00:00:00"/>
    <s v="29565-2025-26-1828-JR-CO-09"/>
    <n v="707170"/>
    <x v="0"/>
    <m/>
    <m/>
    <m/>
    <m/>
    <s v="LA TOTALIDAD DEL BIEN QUE LE CORRESPONDE AL TITULAR EN LA PARTIDA 49003398, UBICADO EN JR CORONEL MARCELINO VARELA Nº113 DPTO 303, LA VICTORIA, LIMA, LIMA"/>
    <m/>
    <s v="TOTALIDAD DEL INMUEBLE"/>
    <d v="2026-06-26T00:00:00"/>
    <s v="SI"/>
    <s v="SE NOTIFICA A CLIENTE EN SU VIVIENDA SE DEJA EN RECEPCION EDIFICIO 18 PISOS EN MIRAFLORES"/>
    <s v="MEDIO"/>
    <s v="SINVOLUNTAD DE PAGO/ SIN CAPACIDAD DE PAGO"/>
    <s v="SIN NEGOCIACIÓN"/>
  </r>
  <r>
    <x v="6"/>
    <s v="NIÑO DE GUZMAN/HUAMANI,ALEXANDER"/>
    <s v="MOROTE/CONDORPUSA,MISHELL"/>
    <s v="LORENA PRADA GONZALES"/>
    <s v="QUIÑONES ALBERTO, FRANCISCO REYNALDO"/>
    <s v="107074101001781801"/>
    <n v="14487.08"/>
    <s v="SOLES"/>
    <d v="2024-08-14T00:00:00"/>
    <s v="74000016151"/>
    <s v="RECUPERABLE"/>
    <s v="15,854,10"/>
    <s v="LIMA"/>
    <s v="3° JUZGADO DE PAZ LETRADO BARRANCO Y MIRAFLORES"/>
    <x v="0"/>
    <d v="2024-08-14T00:00:00"/>
    <s v="03699-2024-46-1866-JP-C-03"/>
    <n v="162502"/>
    <x v="1"/>
    <s v="Obligación de dar suma de dinero"/>
    <d v="2024-10-25T00:00:00"/>
    <s v="03699-2024-0-1809-JP-CI-03"/>
    <s v="SENTENCIA O AUTO FINAL"/>
    <s v="LA TOTALIDAD DEL INMUEBLE DEL FIADOR QUIÑONES ALBERTO CRISTINA ESTHER, P: P03281927, UBICADO EN POSESION INFORMAL ASOCIACION DE VIVIENDA SANTA ROSA DE LLANAVILLA MZ C LT 14, VILLA EL SALVADOR, LIMA"/>
    <s v="27/05/2025 RES 04: AUTO FINAL"/>
    <s v="TOTALIDAD DEL INMUEBLE"/>
    <d v="2026-06-26T00:00:00"/>
    <s v="SI"/>
    <s v="SE NOTIFICA A CLIENTE EN SU VIVIENDA DE AVAL Y TITULAR CASA 3 PISOS COLOR BLANCO BODEGA, CLIENTES RE"/>
    <s v="MEDIO"/>
    <s v="SINVOLUNTAD DE PAGO/ SIN CAPACIDAD DE PAGO"/>
    <s v="SIN NEGOCIACIÓN"/>
  </r>
  <r>
    <x v="6"/>
    <s v="NIÑO DE GUZMAN/HUAMANI,ALEXANDER"/>
    <s v="MOROTE/CONDORPUSA,MISHELL"/>
    <s v="LORENA PRADA GONZALES"/>
    <s v="REPUESTOS ABAMAC E.I.R.L"/>
    <s v="107074101001612541"/>
    <n v="39141.71"/>
    <s v="SOLES"/>
    <d v="2024-05-15T00:00:00"/>
    <s v="74000014632"/>
    <s v="RECUPERABLE"/>
    <s v="67,887,21"/>
    <s v="LIMA"/>
    <s v="11° JUZGADO CIVIL-COMERCIAL"/>
    <x v="0"/>
    <d v="2024-05-14T00:00:00"/>
    <s v="25521-2024-46-1828-JR-CO-11"/>
    <s v="586985 (CC. DE COMERCIALES)"/>
    <x v="1"/>
    <s v="Obligación de dar suma de dinero"/>
    <d v="2024-08-14T00:00:00"/>
    <s v="25521-2024-0-1817-JR-CO-11"/>
    <s v="SENTENCIA O AUTO FINAL"/>
    <s v="TOTALIDAD DEL VEHICULO DE LOS FIADORES MANCO PARDO EDGAR WILSON Y ABANTO MACHUCA LUZ MARIA, P: 54263457, PLACA BRB330, MARCA TOYOTA, MODELO AVANZA, AÑO 2020, COLOR METALICO"/>
    <s v="01/04/2025RES 02: AUTO FINAL"/>
    <s v="TOTALIDAD DEL MUEBLE"/>
    <d v="2026-06-26T00:00:00"/>
    <s v="SI"/>
    <s v="SE NOTIFICA A CLIENTE EL RECORDATORIO DE SU PAGO PUNTUAL DE SU CONVENIO."/>
    <s v="MEDIO"/>
    <s v="CON VOLUNTAD DE PAGO/ CON CAPACIDAD"/>
    <s v="CON NEGOCIACIÓN"/>
  </r>
  <r>
    <x v="6"/>
    <s v="NIÑO DE GUZMAN/HUAMANI,ALEXANDER"/>
    <s v="MOROTE/CONDORPUSA,MISHELL"/>
    <s v="LORENA PRADA GONZALES"/>
    <s v="RIVCAL SAC"/>
    <s v="107074101001154754"/>
    <n v="134274.04"/>
    <s v="SOLES"/>
    <d v="2023-07-21T00:00:00"/>
    <s v="74000010649"/>
    <s v="IRRECUPERABLE"/>
    <s v="162,568.39"/>
    <s v="LIMA SUR"/>
    <s v="JUZ CIVIL CHORRILLOS"/>
    <x v="1"/>
    <m/>
    <m/>
    <m/>
    <x v="2"/>
    <s v="Obligación de dar suma de dinero"/>
    <d v="2023-07-17T00:00:00"/>
    <s v="00006-2023-0-3005-JR-CO-01"/>
    <s v="SENTENCIA O AUTO FINAL"/>
    <s v="NINGUNO"/>
    <s v="16/06/2025RES. 03 REPROGRAMAR VISTA DE CAUSA"/>
    <s v="NINGUNO"/>
    <d v="2026-06-12T00:00:00"/>
    <s v="SI"/>
    <s v="SE NOTIFICA A CLIENTE EN SU VIVIENDA 2 PISOS COLOR CREMA"/>
    <s v="BAJO"/>
    <s v="SINVOLUNTAD DE PAGO/ SIN CAPACIDAD DE PAGO"/>
    <s v="SIN NEGOCIACIÓN"/>
  </r>
  <r>
    <x v="6"/>
    <s v="NIÑO DE GUZMAN/HUAMANI,ALEXANDER"/>
    <s v="MOROTE/CONDORPUSA,MISHELL"/>
    <s v="LORENA PRADA GONZALES"/>
    <s v="SALAZAR REYNOSO, KAREN MARIELENA"/>
    <s v="107024101005602791"/>
    <n v="13031.28"/>
    <s v="SOLES"/>
    <d v="2025-01-29T00:00:00"/>
    <s v="TESTIMONIO"/>
    <s v="RECUPERABLE"/>
    <s v="39,293,73"/>
    <s v="LIMA"/>
    <s v="3 JUZGADO CIVIL COMERCIAL DE LIMA"/>
    <x v="1"/>
    <m/>
    <m/>
    <m/>
    <x v="2"/>
    <s v="Ejecución de garantía"/>
    <d v="2025-01-29T00:00:00"/>
    <s v="02199-2025-0-1828-JR-CO-03"/>
    <s v="ADMISION"/>
    <s v="PROYECTO PILOTO NUEVO PACHACUTEC MZ M2 LT 12, SECTOR D, GRUPO RESIDENCIAL D2, VENTANILLA, CALLAO, LIMA cuyo dominio corre inscrito en la partida electrónica N° P01299930"/>
    <s v="17/06/2026 RES 04: CONTINUA CON LA SUSPENCION DEL PROCESO POR CONVENIO"/>
    <s v="TOTALIDAD DEL INMUEBLE"/>
    <d v="2026-06-24T00:00:00"/>
    <s v="SI"/>
    <s v="SE NOTIFICA A CLIENTE EL RECORDATORIO DE SU PAGO PUNTUAL DE SU CONVENIO."/>
    <s v="ALTO"/>
    <s v="CON VOLUNTAD DE PAGO/ CON CAPACIDAD"/>
    <s v="SIN NEGOCIACIÓN"/>
  </r>
  <r>
    <x v="6"/>
    <s v="NIÑO DE GUZMAN/HUAMANI,ALEXANDER"/>
    <s v="MOROTE/CONDORPUSA,MISHELL"/>
    <s v="LORENA PRADA GONZALES"/>
    <s v="SALOME VEGAZO, ANGELA JANET"/>
    <s v="107024101005716000"/>
    <n v="16985.61"/>
    <s v="SOLES"/>
    <d v="2024-04-27T00:00:00"/>
    <s v="24000052915"/>
    <s v="RECUPERABLE"/>
    <s v="27,636,22"/>
    <s v="LIMA SUR"/>
    <s v="JUZGADO DE PAZ LETRADO CIVL DE SAN JUAN DE MIRAFLORES"/>
    <x v="0"/>
    <d v="2024-04-25T00:00:00"/>
    <s v="00322-2024-10-3002-JP-CI-02"/>
    <n v="341784"/>
    <x v="1"/>
    <s v="Obligación de dar suma de dinero"/>
    <d v="2024-09-02T00:00:00"/>
    <s v="00322-2024-0-3002-JP-CI-02"/>
    <s v="ADMISION"/>
    <s v="TOTALIDAD DEL BIEN DE LA SOCIEDAD CONYUGAL DERODRIGUEZ MAYO VICTOR FILOMENO Y QUIÑONES MARTEL ROSA VICTORIA, P: P13154431, UBICADO EN VIVIENDA #7 (UI7) 1,2 Y 3 PISO UBICADO EN SOBRE EL INMUEBLE MATRIZ QUE TIENE FRENTE A LA AV. MARCO PUENTE LLANOS, SUB.. LT. N 3B DE LA MZ. L, URB BARBADILLO, ATE, LIMA."/>
    <s v="28/05/2026 ESCRITO: SOLICITO AUTO FINAL"/>
    <s v="TOTALIDAD DEL INMUEBLE"/>
    <d v="2026-06-24T00:00:00"/>
    <s v="SI"/>
    <s v="SE NOTIFICA A CLIENTE EN SU VIVIENDA 2 PISOS COLOR AZUL SE NOTIFICA EMBARGO"/>
    <s v="MEDIO"/>
    <s v="CON VOLUNTAD DE PAGO/ CON CAPACIDAD"/>
    <s v="SIN NEGOCIACIÓN"/>
  </r>
  <r>
    <x v="6"/>
    <s v="NIÑO DE GUZMAN/HUAMANI,ALEXANDER"/>
    <s v="MOROTE/CONDORPUSA,MISHELL"/>
    <s v="LORENA PRADA GONZALES"/>
    <s v="SANCHEZ SUAREZ, GERALDIN ARIANA"/>
    <s v="107024101005245572"/>
    <n v="22524.46"/>
    <s v="SOLES"/>
    <d v="2025-05-12T00:00:00"/>
    <s v="TESTIMONIO"/>
    <s v="RECUPERABLE"/>
    <s v="24,294.92"/>
    <s v="LIMA"/>
    <s v="17°JUZGADO CIVIL-COMERCIAL DE LIMA"/>
    <x v="1"/>
    <m/>
    <m/>
    <m/>
    <x v="2"/>
    <s v="Ejecución de garantía"/>
    <d v="2025-05-12T00:00:00"/>
    <s v="10286-2025-0-1828-JR-CO-17"/>
    <s v="SENTENCIA O AUTO FINAL"/>
    <s v="CENTRO POBLADO MENOR AUGUSTO B. LEGUIA MZ M2 LOTE 8, DISTRITO DE NUEVO IMPERIAL, PROVINCIA DE CAÑETE Y DEPARTAMENTO DE LIMA."/>
    <s v="19/06/2026 RES 04: EXPIDASE LAS COPIAS CERTIFICADAS"/>
    <s v="TOTALIDAD DEL INMUEBLE"/>
    <d v="2026-06-24T00:00:00"/>
    <s v="SI"/>
    <s v="SE NOTIFICA A CLIENTE EN SU VIVIENDA CASA 2 PISOS BLANCO"/>
    <s v="ALTO"/>
    <s v="SINVOLUNTAD DE PAGO/ SIN CAPACIDAD DE PAGO"/>
    <s v="SIN NEGOCIACIÓN"/>
  </r>
  <r>
    <x v="6"/>
    <s v="NIÑO DE GUZMAN/HUAMANI,ALEXANDER"/>
    <s v="MOROTE/CONDORPUSA,MISHELL"/>
    <s v="LORENA PRADA GONZALES"/>
    <s v="SHULCAN.COM E.I.R.L."/>
    <s v="107074101001158944"/>
    <n v="199592.75"/>
    <s v="SOLES"/>
    <d v="2023-05-30T00:00:00"/>
    <s v="74000010688"/>
    <s v="IRRECUPERABLE"/>
    <s v="340,355.39"/>
    <s v="LIMA"/>
    <s v="10°JUZGADO CIVIL-COMERCIAL"/>
    <x v="1"/>
    <m/>
    <m/>
    <m/>
    <x v="2"/>
    <s v="Obligación de dar suma de dinero"/>
    <d v="2023-05-22T00:00:00"/>
    <s v="10286-2023-0-1817-JR-CO-10"/>
    <s v="SENTENCIA O AUTO FINAL"/>
    <s v="NINGUNO"/>
    <s v="24/04/2024RES 04: CONSENTIDA Y REQUERIDA"/>
    <s v="NINGUNO"/>
    <d v="2026-06-12T00:00:00"/>
    <s v="SI"/>
    <s v="SE NOTIFICA A CLIENTE EN SU VIVIENDA 1 PISO BLANCO NO ATIENDEN NADIE SE DEJA BAJO PUERTA"/>
    <s v="BAJO"/>
    <s v="SINVOLUNTAD DE PAGO/ SIN CAPACIDAD DE PAGO"/>
    <s v="SIN NEGOCIACIÓN"/>
  </r>
  <r>
    <x v="6"/>
    <s v="NIÑO DE GUZMAN/HUAMANI,ALEXANDER"/>
    <s v="MOROTE/CONDORPUSA,MISHELL"/>
    <s v="LORENA PRADA GONZALES"/>
    <s v="TIERRA DE FUEGO &amp; GRUPO MONTENEGRO S.A.C."/>
    <s v="107074101001129019"/>
    <n v="13391.6"/>
    <s v="SOLES"/>
    <d v="2023-09-22T00:00:00"/>
    <s v="74000010420"/>
    <s v="IRRECUPERABLE"/>
    <s v="18,995.52"/>
    <s v="LIMA"/>
    <s v="2 JUZGADO DE PAZ LETRADO LA VICTORIA"/>
    <x v="0"/>
    <d v="2023-09-21T00:00:00"/>
    <s v="00749-2023-52-1814-JP-CO-02"/>
    <m/>
    <x v="1"/>
    <s v="Obligación de dar suma de dinero"/>
    <d v="2024-01-12T00:00:00"/>
    <s v="00749-2023-0-1814-JP-CO-02"/>
    <s v="SENTENCIA O AUTO FINAL"/>
    <s v="ACCIONES Y DERECHOS DEL INMUEBLE QUE LE CORRESPONDEN AL AVAL RUDECINDO MONTENEGRO TORRES, NMRO DE PARTIDA 14491011, CON DIRECCIÓN CALLE VENTURA CCALAMAQUI NMRO 105, DEPARTAMENTO 201 - SEGUNDO PISO, URBANIZACIÓN PANDO, SAN MIGUEL-"/>
    <s v="09/06/2026 ESCRITO: INICIO DE EJECUCION FORZADA"/>
    <s v="ACCIONES Y DERECHOS"/>
    <d v="2026-06-12T00:00:00"/>
    <s v="SI"/>
    <s v="SE NOTIFICA A CLIENTE EN EN POLVOS AZULES PUESTO"/>
    <s v="BAJO"/>
    <s v="SINVOLUNTAD DE PAGO/ SIN CAPACIDAD DE PAGO"/>
    <s v="SIN NEGOCIACIÓN"/>
  </r>
  <r>
    <x v="6"/>
    <s v="NIÑO DE GUZMAN/HUAMANI,ALEXANDER"/>
    <s v="MOROTE/CONDORPUSA,MISHELL"/>
    <s v="LORENA PRADA GONZALES"/>
    <s v="VILCAPOMA CANCHANYA, NICANOR JUAN"/>
    <s v="107074101002183842"/>
    <n v="34853.61"/>
    <s v="SOLES"/>
    <d v="2025-08-30T00:00:00"/>
    <s v="74000019798"/>
    <s v="RECUPERABLE"/>
    <s v="36,775.56"/>
    <s v="LIMA"/>
    <s v="2 JUZGADO DE PAZ LETRADO BARRANCO - MIRAFLORES"/>
    <x v="0"/>
    <d v="2025-08-29T00:00:00"/>
    <s v="03877-2025-49-1866-JP-CI-02"/>
    <n v="760415"/>
    <x v="1"/>
    <s v="Obligación de dar suma de dinero"/>
    <d v="2025-09-23T00:00:00"/>
    <s v="03877-2025-0-1809-JP-CI-02"/>
    <s v="ADMISION"/>
    <s v="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
    <s v="28/05/2026 ESCRITO: SOLICITO AUTO FINAL"/>
    <s v="TOTALIDAD DEL INMUEBLE"/>
    <d v="2026-06-26T00:00:00"/>
    <s v="SI"/>
    <s v="SE ENTREGA REQUERIMIENTO EN DOMICILIO"/>
    <s v="MEDIO"/>
    <s v="SINVOLUNTAD DE PAGO/ SIN CAPACIDAD DE PAGO"/>
    <s v="SIN NEGOCIACIÓN"/>
  </r>
  <r>
    <x v="6"/>
    <s v="NIÑO DE GUZMAN/HUAMANI,ALEXANDER"/>
    <s v="MOROTE/CONDORPUSA,MISHELL"/>
    <s v="LORENA PRADA GONZALES"/>
    <s v="YAÑAC TUNQUE, ELVA"/>
    <s v="107074101000624876"/>
    <n v="23239.16"/>
    <s v="SOLES"/>
    <d v="2021-03-25T00:00:00"/>
    <s v="74000004356"/>
    <s v="RECUPERABLE"/>
    <s v="61,249.01"/>
    <s v="LIMA"/>
    <s v="4°JUZGADO CIVIL-COMERCIAL DE LIMA"/>
    <x v="1"/>
    <m/>
    <m/>
    <m/>
    <x v="2"/>
    <s v="Ejecución de garantía"/>
    <d v="2021-03-19T00:00:00"/>
    <s v="04843-2021-0-1817-JR-CO-04"/>
    <s v="SENTENCIA O AUTO FINAL"/>
    <s v="PUEBLO JOVEN LAS DUNAS DE SURCO, MANZANA B, LOTE 16, DISTRITO DE SANTIAGO DE SURCO, PROVINCIA Y DEPARTAMENTO DE LIMA, PARTIDA ELECTRONICA N° P03164627 DEL REGISTRO DE PREDIOS-DE LA OFICINA REGISTRAL DE LIMA-ZONA REGISTRAL N° XI-SEDE LIMA-OFICINA REGISTRAL LIMA"/>
    <s v="12/09/2024RES 07: APERSONADO"/>
    <s v="TOTALIDAD DEL INMUEBLE"/>
    <d v="2026-06-22T00:00:00"/>
    <s v="SI"/>
    <s v="SE NOTIFICA A CLIENTE EL RECORDATORIO DE SU PAGO PUNTUAL DE SU CONVENIO."/>
    <s v="ALTO"/>
    <s v="CON VOLUNTAD DE PAGO/ CON CAPACIDAD"/>
    <s v="CON NEGOCIACIÓN"/>
  </r>
  <r>
    <x v="6"/>
    <s v="NIÑO DE GUZMAN/HUAMANI,ALEXANDER"/>
    <s v="MOROTE/CONDORPUSA,MISHELL"/>
    <s v="LORENA PRADA GONZALES"/>
    <s v="CHAVEZ HUAMAN, ELLIOT JEFFREY"/>
    <s v="107074101002209536"/>
    <n v="18616.21"/>
    <s v="SOLES"/>
    <d v="2026-01-06T00:00:00"/>
    <s v="74000020025"/>
    <s v="RECUPERABLE"/>
    <n v="20942.98"/>
    <s v="LIMA SUR"/>
    <s v="JUZGADO DE PAZ LETRADO CIVIL DE SJM"/>
    <x v="0"/>
    <d v="2026-01-06T00:00:00"/>
    <s v="00004-2026-74-3002-JP-CI-02"/>
    <n v="829862"/>
    <x v="0"/>
    <m/>
    <m/>
    <m/>
    <m/>
    <s v="TOTALIDAD DEL BIEN MUEBLE QUE LE CORRESPONDE AL FIADOR CORTEZ SOTO, NORMA ALICIA, DEL BIEN MUEBLE VEHICULAR CON PLACA CSN046, MARCA MITSUBISHI FUSO, MODELO MF100, AÑO 2025, COLOR ROJO/AMARILLO/BLANCO/NEGRO, INSCRITO EN LA PARTIDA ELECTRONICA N°55415114 DEL REGISTRO DE PROPIEDAD VEHICULAR."/>
    <m/>
    <s v="TOTALIDAD DEL MUEBLE"/>
    <d v="2026-06-13T00:00:00"/>
    <s v="SI"/>
    <s v="SE ENTREGA REQUERIMIENTO EN DOMICILIO"/>
    <s v="MEDIO"/>
    <s v="SINVOLUNTAD DE PAGO/ SIN CAPACIDAD DE PAGO"/>
    <s v="SIN NEGOCIACIÓN"/>
  </r>
  <r>
    <x v="1"/>
    <s v="NIÑO DE GUZMAN/HUAMANI,ALEXANDER"/>
    <s v="MOROTE/CONDORPUSA,MISHELL"/>
    <s v="LORENA PRADA GONZALES"/>
    <s v="HUIZA YUCRA, AURELIO RONALD"/>
    <s v="107180101000770991"/>
    <n v="40000"/>
    <s v="SOLES"/>
    <d v="2026-01-15T00:00:00"/>
    <s v="180000006830"/>
    <s v="RECUPERABLE"/>
    <s v="44,242.65"/>
    <s v="LIMA SUR"/>
    <s v="JUZGADO DE PAZ LETRADO CIVIL DE SJM"/>
    <x v="0"/>
    <d v="2026-01-15T00:00:00"/>
    <s v="00028-2026-1-3002-JP-CI-02"/>
    <n v="37918"/>
    <x v="0"/>
    <m/>
    <m/>
    <m/>
    <m/>
    <s v="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
    <m/>
    <s v="TOTALIDAD DEL INMUEBLE"/>
    <d v="2026-06-13T00:00:00"/>
    <s v="SI"/>
    <s v="SE ENTREGA REQUERIMIENTO EN DOMICILIO"/>
    <s v="MEDIO"/>
    <s v="SINVOLUNTAD DE PAGO/ SIN CAPACIDAD DE PAGO"/>
    <s v="SIN NEGOCIACIÓN"/>
  </r>
  <r>
    <x v="1"/>
    <s v="NIÑO DE GUZMAN/HUAMANI,ALEXANDER"/>
    <s v="MOROTE/CONDORPUSA,MISHELL"/>
    <s v="LORENA PRADA GONZALES"/>
    <s v="ARELLANO ALEJO, RUTH MERY"/>
    <s v="107180101000857428"/>
    <n v="26635.3"/>
    <s v="SOLES"/>
    <d v="2026-01-15T00:00:00"/>
    <s v="180000007584"/>
    <s v="RECUPERABLE"/>
    <s v="29,182.81"/>
    <s v="LIMA SUR"/>
    <s v="JUZGADO DE PAZ LETRADO CIVIL DE SJM"/>
    <x v="0"/>
    <d v="2026-01-15T00:00:00"/>
    <s v="00029-2026-28-3002-JP-CI-02"/>
    <n v="575908"/>
    <x v="0"/>
    <m/>
    <m/>
    <m/>
    <m/>
    <s v="LA TOTALIDAD DEL BIEN QUE LE CORRESPONDEN AL FIADOR ALEJO RACACHA ANTONIA, DEL BIEN INMUEBLE UBICADO EN ASOCIACION DE PROPIETARIOS URBANIZACION GANIMEDES MZ C LOTE 32, DPTO: LIMA, PROV: LIMA DIST: SAN JUAN DE LURIGANCHO, INSCRITO EN LA PARTIDA ELECTRÓNICA N° P02171522"/>
    <m/>
    <s v="TOTALIDAD DEL INMUEBLE"/>
    <d v="2026-06-13T00:00:00"/>
    <s v="SI"/>
    <s v="SE ENTREGA REQUERIMIENTO EN DOMICILIO"/>
    <s v="MEDIO"/>
    <s v="SINVOLUNTAD DE PAGO/ SIN CAPACIDAD DE PAGO"/>
    <s v="SIN NEGOCIACIÓN"/>
  </r>
  <r>
    <x v="5"/>
    <s v="NIÑO DE GUZMAN/HUAMANI,ALEXANDER"/>
    <s v="MOROTE/CONDORPUSA,MISHELL"/>
    <s v="LORENA PRADA GONZALES"/>
    <s v="AUQUE ESCAJADILLO, ELIZABETH LOURDES"/>
    <s v="107178101001166437"/>
    <n v="38939.279999999999"/>
    <s v="SOLES"/>
    <d v="2026-01-19T00:00:00"/>
    <s v="178000011007"/>
    <s v="RECUPERABLE"/>
    <s v="43,079.43"/>
    <s v="LIMA SUR"/>
    <s v="JUZGADO DE PAZ LETRADO DE VILLA MARIA DEL TRIUNFO"/>
    <x v="0"/>
    <d v="2026-01-19T00:00:00"/>
    <s v="00032-2026-30-3001-JP-CI-01"/>
    <n v="714053"/>
    <x v="0"/>
    <m/>
    <m/>
    <m/>
    <m/>
    <s v="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 ESTAMOS EN 2 RANGO"/>
    <m/>
    <s v="TOTALIDAD DEL INMUEBLE"/>
    <d v="2026-06-13T00:00:00"/>
    <s v="SI"/>
    <s v="SE ENTREGA REQUERIMIENTO EN DOMICILIO"/>
    <s v="MEDIO"/>
    <s v="SINVOLUNTAD DE PAGO/ SIN CAPACIDAD DE PAGO"/>
    <s v="SIN NEGOCIACIÓN"/>
  </r>
  <r>
    <x v="3"/>
    <s v="NIÑO DE GUZMAN/HUAMANI,ALEXANDER"/>
    <s v="HINOSTROZA/ILDEFONSO, DIEGO ANDREE"/>
    <s v="LORENA PRADA GONZALES"/>
    <s v="LEON SAAVEDRA, VICTOR MANUEL"/>
    <s v="107147101001245685"/>
    <n v="20906.18"/>
    <s v="SOLES"/>
    <d v="2026-01-22T00:00:00"/>
    <s v="TESTIMONIO"/>
    <s v="RECUPERABLE"/>
    <s v="22,406.01"/>
    <s v="LIMA"/>
    <s v="7° JUZGADO CIVIL - COMERCIAL"/>
    <x v="1"/>
    <m/>
    <m/>
    <m/>
    <x v="2"/>
    <s v="Ejecución de garantía"/>
    <d v="2026-01-22T00:00:00"/>
    <s v="02054-2026-0-1828-JR-CO-07"/>
    <s v="ADMISION"/>
    <s v="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 45,000.00 (CUARENTA Y CINCO MIL CON 00/100 SOLES)"/>
    <s v="28/05/2026 ESCRITO: AUTO FINAL"/>
    <s v="TOTALIDAD DEL INMUEBLE"/>
    <d v="2026-06-13T00:00:00"/>
    <s v="SI"/>
    <s v="SE ENTREGA REQUERIMIENTO EN DOMICILIO"/>
    <s v="ALTO"/>
    <s v="SINVOLUNTAD DE PAGO/ SIN CAPACIDAD DE PAGO"/>
    <s v="SIN NEGOCIACIÓN"/>
  </r>
  <r>
    <x v="3"/>
    <s v="NIÑO DE GUZMAN/HUAMANI,ALEXANDER"/>
    <s v="HINOSTROZA/ILDEFONSO, DIEGO ANDREE"/>
    <s v="LORENA PRADA GONZALES"/>
    <s v="GONZALES LOZANO, RAQUEL"/>
    <s v="107147101001109846"/>
    <n v="57995.39"/>
    <s v="SOLES"/>
    <d v="2026-01-26T00:00:00"/>
    <s v="147000009736"/>
    <s v="RECUPERABLE"/>
    <s v="330,308,29"/>
    <s v="LIMA"/>
    <s v="14° JUZGADO CIVIL - COMERCIAL"/>
    <x v="0"/>
    <d v="2026-01-26T00:00:00"/>
    <s v="02748-2026-66-1828-JR-CO-14"/>
    <n v="416216"/>
    <x v="1"/>
    <s v="Obligación de dar suma de dinero"/>
    <d v="2026-06-08T00:00:00"/>
    <s v="02748-2026-0-1817-JR-CO-14"/>
    <s v="EN CALIFICACION"/>
    <s v="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
    <s v="08/06/2026 ESCRITO: FORMALIZACION"/>
    <s v="TOTALIDAD DEL INMUEBLE"/>
    <d v="2026-06-13T00:00:00"/>
    <s v="SI"/>
    <s v="SE ENTREGA REQUERIMIENTO EN DOMICILIO"/>
    <s v="MEDIO"/>
    <s v="SINVOLUNTAD DE PAGO/ SIN CAPACIDAD DE PAGO"/>
    <s v="SIN NEGOCIACIÓN"/>
  </r>
  <r>
    <x v="2"/>
    <s v="NIÑO DE GUZMAN/HUAMANI,ALEXANDER"/>
    <s v="HINOSTROZA/ILDEFONSO, DIEGO ANDREE"/>
    <s v="LORENA PRADA GONZALES"/>
    <s v="RAMIREZ CORDOVA, SANDY"/>
    <s v="107038101003187584"/>
    <n v="34624.959999999999"/>
    <s v="SOLES"/>
    <d v="2026-01-26T00:00:00"/>
    <s v="38000029132"/>
    <s v="RECUPERABLE"/>
    <s v="37,226.23"/>
    <s v="LIMA"/>
    <s v="3° JUZGADO DE PAZ LETRADO BARRANCO Y MIRAFLORES"/>
    <x v="0"/>
    <d v="2026-01-26T00:00:00"/>
    <s v="00351-2026-42-1866-JP-CI-03"/>
    <n v="93860"/>
    <x v="1"/>
    <s v="Obligación de dar suma de dinero"/>
    <d v="2026-05-22T00:00:00"/>
    <s v="00351-2026-0-1809-JP-CI-03"/>
    <s v="ADMISION"/>
    <s v="LA TOTALIDAD DEL BIEN QUE LE CORRESPONDEN AL FIADOR JAUREGUI DURAND, OSWALDO MARTIN, DEL BIEN INMUEBLE UBICADO EN JIRON PARURO NUMERO 1087 DEPARTAMENTO 303, CERCADO DE LIMA, LIMA, LIMA, INSCRITO EN LA PARTIDA ELECTRÓNICA N° 40376615 DEL REGISTRO DE PROPIEDAD INMUEBLE."/>
    <s v="28/05/2026 RES 01: ADMITIDA LA FORMALIZACION"/>
    <s v="ACCIONES Y DERECHOS"/>
    <d v="2026-06-13T00:00:00"/>
    <s v="SI"/>
    <s v="SE ENTREGA REQUERIMIENTO EN DOMICILIO"/>
    <s v="MEDIO"/>
    <s v="SINVOLUNTAD DE PAGO/ SIN CAPACIDAD DE PAGO"/>
    <s v="SIN NEGOCIACIÓN"/>
  </r>
  <r>
    <x v="2"/>
    <s v="NIÑO DE GUZMAN/HUAMANI,ALEXANDER"/>
    <s v="HINOSTROZA/ILDEFONSO, DIEGO ANDREE"/>
    <s v="LORENA PRADA GONZALES"/>
    <s v="HUAMAN GONZALO, EULOGIA"/>
    <s v="107038101003380189"/>
    <n v="38551.06"/>
    <s v="SOLES"/>
    <d v="2026-01-27T00:00:00"/>
    <s v="38000030860"/>
    <s v="IRRECUPERABLE"/>
    <s v="42,804.7"/>
    <s v="LIMA"/>
    <s v="1° JUZGADO CIVIL - COMERCIAL"/>
    <x v="0"/>
    <d v="2026-01-27T00:00:00"/>
    <s v="03082-2026-77-1828-JR-CO -01"/>
    <n v="841697"/>
    <x v="1"/>
    <s v="Obligación de dar suma de dinero"/>
    <d v="2026-06-08T00:00:00"/>
    <s v="03082-2026-0-1817-JP-CI-01"/>
    <s v="EN CALIFICACION"/>
    <s v="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
    <s v="08/06/2026 ESCRITO: FORMALIZACION "/>
    <s v="ACCIONES Y DERECHOS"/>
    <d v="2026-06-13T00:00:00"/>
    <s v="SI"/>
    <s v="SE ENTREGA REQUERIMIENTO EN DOMICILIO"/>
    <s v="BAJO"/>
    <s v="SINVOLUNTAD DE PAGO/ SIN CAPACIDAD DE PAGO"/>
    <s v="SIN NEGOCIACIÓN"/>
  </r>
  <r>
    <x v="0"/>
    <s v="NIÑO DE GUZMAN/HUAMANI,ALEXANDER"/>
    <s v="HINOSTROZA/ILDEFONSO, DIEGO ANDREE"/>
    <s v="LORENA PRADA GONZALES"/>
    <s v="RAMOS VARGAS, GLADYS HELEN"/>
    <s v="107099101001960069"/>
    <n v="37934.14"/>
    <s v="SOLES"/>
    <d v="2026-01-30T00:00:00"/>
    <s v="99000018382"/>
    <s v="RECUPERABLE"/>
    <s v="40,246.88"/>
    <s v="LIMA"/>
    <s v="3° JUZGADO DE PAZ LETRADO BARRANCO Y MIRAFLORES"/>
    <x v="0"/>
    <d v="2026-01-30T00:00:00"/>
    <s v="00639-2026-98-1866-JP-CI-03"/>
    <n v="139815"/>
    <x v="1"/>
    <s v="Obligación de dar suma de dinero"/>
    <d v="2026-05-22T00:00:00"/>
    <s v="00639-2026-0-1809-JP-CI-03"/>
    <s v="ADMISION"/>
    <s v="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
    <s v="28/05/2026 RES 01: ADMITIDA FORMALIZACION"/>
    <s v="TOTALIDAD DEL INMUEBLE"/>
    <d v="2026-06-13T00:00:00"/>
    <s v="SI"/>
    <s v="SE ENTREGA REQUERIMIENTO EN DOMICILIO"/>
    <s v="MEDIO"/>
    <s v="SINVOLUNTAD DE PAGO/ SIN CAPACIDAD DE PAGO"/>
    <s v="SIN NEGOCIACIÓN"/>
  </r>
  <r>
    <x v="2"/>
    <s v="NIÑO DE GUZMAN/HUAMANI,ALEXANDER"/>
    <s v="HINOSTROZA/ILDEFONSO, DIEGO ANDREE"/>
    <s v="LORENA PRADA GONZALES"/>
    <s v="HUAMAN GONZALO, EULOGIA"/>
    <s v="107038101003494648"/>
    <n v="45674.93"/>
    <s v="SOLES"/>
    <d v="2026-01-27T00:00:00"/>
    <s v="38000031830"/>
    <s v="RECUPERABLE"/>
    <s v="48,797.98"/>
    <s v="LIMA"/>
    <s v="1° JUZGADO CIVIL - COMERCIAL"/>
    <x v="0"/>
    <d v="2026-01-27T00:00:00"/>
    <s v="03082-2026-77-1828-JR-CO -01"/>
    <n v="841697"/>
    <x v="1"/>
    <s v="Obligación de dar suma de dinero"/>
    <d v="2026-06-08T00:00:00"/>
    <s v="03082-2026-0-1817-JR-CO-01"/>
    <s v="EN CALIFICACION"/>
    <s v="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
    <s v="08/06/2026 ESCRITO: FORMALIZACION "/>
    <s v="ACCIONES Y DERECHOS"/>
    <d v="2026-06-16T00:00:00"/>
    <s v="SI"/>
    <s v="SE ENTREGA REQUERIMIENTO EN DOMICILIO"/>
    <s v="MEDIO"/>
    <s v="SINVOLUNTAD DE PAGO/ SIN CAPACIDAD DE PAGO"/>
    <s v="SIN NEGOCIACIÓN"/>
  </r>
  <r>
    <x v="6"/>
    <s v="NIÑO DE GUZMAN/HUAMANI,ALEXANDER"/>
    <s v="MOROTE/CONDORPUSA,MISHELL"/>
    <s v="LORENA PRADA GONZALES"/>
    <s v="NEVERLAN IMPORT E.I.R.L."/>
    <s v="107074101002021716"/>
    <n v="78067.009999999995"/>
    <s v="SOLES"/>
    <d v="2026-02-05T00:00:00"/>
    <s v="74000018311"/>
    <s v="RECUPERABLE"/>
    <s v="93,576.56"/>
    <s v="LIMA"/>
    <s v="16º JUZGADO CIVIL-COMERCIAL"/>
    <x v="0"/>
    <d v="2026-02-05T00:00:00"/>
    <s v="03822-2026-57-1828-JR-CO-16"/>
    <n v="631469"/>
    <x v="1"/>
    <s v="Obligación de dar suma de dinero"/>
    <d v="2026-05-11T00:00:00"/>
    <s v="03082-2026-0-1817-JR-CO-01"/>
    <s v="EN CALIFICACION"/>
    <s v="TOTALIDAD QUE LE CORRESPONDEN AL FIADOR RODRIGUEZ BOHORQUEZ VICTOR HUGO, DEL BIEN INMUEBLE FRENTE A LA CALLE 4 MANZANA E LOTE 12-B, URBANIZACION PORTADA DEL SOL LA MOLIINA, LIMA, LIMA. INSCRITO EN LA PARTIDA ELECTRÓNICA N°12174187 DEL REGISTRO DE PROPIEDAD INMUEBLE"/>
    <s v="18/06/2026 ESCRITO: CONVENIO DE PAGO"/>
    <s v="TOTALIDAD DEL INMUEBLE"/>
    <d v="2026-06-16T00:00:00"/>
    <s v="SI"/>
    <s v="SE ENTREGA REQUERIMIENTO EN DOMICILIO"/>
    <s v="MEDIO"/>
    <s v="SINVOLUNTAD DE PAGO/ SIN CAPACIDAD DE PAGO"/>
    <s v="CON NEGOCIACIÓN"/>
  </r>
  <r>
    <x v="6"/>
    <s v="NIÑO DE GUZMAN/HUAMANI,ALEXANDER"/>
    <s v="MOROTE/CONDORPUSA,MISHELL"/>
    <s v="LORENA PRADA GONZALES"/>
    <s v="OLIVERA CASTRO, GIOVANNA JUDITH"/>
    <s v="107074101002094849"/>
    <n v="49331.37"/>
    <s v="SOLES"/>
    <d v="2026-02-05T00:00:00"/>
    <s v="74000018971"/>
    <s v="RECUPERABLE"/>
    <s v="55,733.8"/>
    <s v="LIMA"/>
    <s v="3° JUZGADO CIVIL COMERCIAL"/>
    <x v="0"/>
    <d v="2026-02-05T00:00:00"/>
    <s v="03825-2026-25-1828-JR-CO-03"/>
    <n v="204283"/>
    <x v="1"/>
    <s v="Obligación de dar suma de dinero"/>
    <d v="2026-06-22T00:00:00"/>
    <s v="03825-2026-0-1817-JR-CO-03"/>
    <s v="EN CALIFICACION"/>
    <s v="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
    <s v="22/06/2026 ESCRITO: FORMALIZACION"/>
    <s v="TOTALIDAD DEL INMUEBLE"/>
    <d v="2026-06-16T00:00:00"/>
    <s v="SI"/>
    <s v="SE ENTREGA REQUERIMIENTO EN DOMICILIO"/>
    <s v="MEDIO"/>
    <s v="SINVOLUNTAD DE PAGO/ SIN CAPACIDAD DE PAGO"/>
    <s v="SIN NEGOCIACIÓN"/>
  </r>
  <r>
    <x v="6"/>
    <s v="NIÑO DE GUZMAN/HUAMANI,ALEXANDER"/>
    <s v="MOROTE/CONDORPUSA,MISHELL"/>
    <s v="LORENA PRADA GONZALES"/>
    <s v="CASTRO RAMIREZ, LUCIA TEODORA"/>
    <s v="107074101002074685"/>
    <n v="36415.370000000003"/>
    <s v="SOLES"/>
    <d v="2026-02-06T00:00:00"/>
    <s v="74000018782"/>
    <s v="RECUPERABLE"/>
    <s v="40,432.04"/>
    <s v="LIMA"/>
    <s v="3° JUZGADO DE PAZ LETRADO BARRANCO Y MIRAFLORES"/>
    <x v="0"/>
    <d v="2026-02-06T00:00:00"/>
    <s v="00705-2026-99-1866-JP-CI-03"/>
    <n v="427106"/>
    <x v="1"/>
    <s v="Obligación de dar suma de dinero"/>
    <d v="2026-06-22T00:00:00"/>
    <s v="00705-2026-0-1809-JP-CI-03"/>
    <s v="ADMISION"/>
    <s v="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
    <s v="30/06/2026 RES 1 ADMITIDA"/>
    <s v="TOTALIDAD DEL INMUEBLE"/>
    <d v="2026-06-16T00:00:00"/>
    <s v="SI"/>
    <s v="SE ENTREGA REQUERIMIENTO EN DOMICILIO"/>
    <s v="MEDIO"/>
    <s v="SINVOLUNTAD DE PAGO/ SIN CAPACIDAD DE PAGO"/>
    <s v="SIN NEGOCIACIÓN"/>
  </r>
  <r>
    <x v="3"/>
    <s v="NIÑO DE GUZMAN/HUAMANI,ALEXANDER"/>
    <s v="HINOSTROZA/ILDEFONSO, DIEGO ANDREE"/>
    <s v="LORENA PRADA GONZALES"/>
    <s v="RODRIGUEZ AREVALO, JAVIER"/>
    <s v="107147101001301349"/>
    <n v="69468.14"/>
    <s v="SOLES"/>
    <d v="2026-02-17T00:00:00"/>
    <s v="147000011432"/>
    <s v="RECUPERABLE"/>
    <s v="73,131,26"/>
    <s v="LIMA"/>
    <s v="15º JUZGADO CIVIL-COMERCIAL"/>
    <x v="0"/>
    <d v="2026-02-17T00:00:00"/>
    <s v="04699-2026-56-1828-JR-CO-15"/>
    <n v="946550"/>
    <x v="1"/>
    <s v="Obligación de dar suma de dinero"/>
    <d v="2026-06-26T00:00:00"/>
    <s v="04699-2026-56-1817-JR-CO-15"/>
    <s v="ADMISION"/>
    <s v="LA TOTALIDAD DEL BIEN QUE LE CORRESPONDEN AL FIADOR ROSAS ESPINOZA, ELIAS, DEL BIEN INMUEBLE UBICADO EN MANZANA N LOTE 16 URBANIZACION ESMERALDA SEGUNDA ETAPA, CARABAYLLO, LIMA, LIMA INSCRITO EN LA PARTIDA ELECTRÓNICA N° 13844779 DEL REGISTRO DE PROPIEDAD INMUEBLE."/>
    <s v="02/07/2026 RES 1 ADMITIDA"/>
    <s v="TOTALIDAD DEL INMUEBLE"/>
    <d v="2026-06-16T00:00:00"/>
    <s v="SI"/>
    <s v="SE ENTREGA REQUERIMIENTO EN DOMICILIO"/>
    <s v="MEDIO"/>
    <s v="SINVOLUNTAD DE PAGO/ SIN CAPACIDAD DE PAGO"/>
    <s v="SIN NEGOCIACIÓN"/>
  </r>
  <r>
    <x v="4"/>
    <s v="NIÑO DE GUZMAN/HUAMANI,ALEXANDER"/>
    <s v="MOROTE/CONDORPUSA,MISHELL"/>
    <s v="LORENA PRADA GONZALES"/>
    <s v="PAREDES CUBAS, AUGUSTO BERNARDINO"/>
    <s v="107172101001216843"/>
    <n v="49292.93"/>
    <s v="SOLES"/>
    <d v="2026-02-24T00:00:00"/>
    <s v="TESTIMONIO"/>
    <s v="RECUPERABLE"/>
    <s v="53,701.43"/>
    <s v="LIMA"/>
    <s v="16º JUZGADO CIVIL-COMERCIAL"/>
    <x v="1"/>
    <m/>
    <m/>
    <m/>
    <x v="2"/>
    <s v="Ejecución de garantía"/>
    <d v="2026-02-24T00:00:00"/>
    <s v="05292-2026-0-1828-JR-CO-16"/>
    <s v="EN CALIFICACION"/>
    <s v="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
    <s v="07/04/2026 ESCRITO: ADJUNTO LIQUIDACION DE SALDO DEUDOR"/>
    <s v="TOTALIDAD DEL INMUEBLE"/>
    <d v="2026-06-16T00:00:00"/>
    <s v="SI"/>
    <s v="SE ENTREGA REQUERIMIENTO EN DOMICILIO"/>
    <s v="ALTO"/>
    <s v="SINVOLUNTAD DE PAGO/ SIN CAPACIDAD DE PAGO"/>
    <s v="SIN NEGOCIACIÓN"/>
  </r>
  <r>
    <x v="7"/>
    <s v="NIÑO DE GUZMAN/HUAMANI,ALEXANDER"/>
    <s v="MOROTE/CONDORPUSA,MISHELL"/>
    <s v="LORENA PRADA GONZALES"/>
    <s v="PAREDES MEDINA, CESAR AUGUSTO"/>
    <s v="107050101003809125"/>
    <n v="20788.13"/>
    <s v="SOLES"/>
    <d v="2026-02-24T00:00:00"/>
    <s v="TESTIMONIO"/>
    <s v="RECUPERABLE"/>
    <s v="23,107,51"/>
    <s v="LIMA"/>
    <s v="16º JUZGADO CIVIL-COMERCIAL"/>
    <x v="1"/>
    <m/>
    <m/>
    <m/>
    <x v="2"/>
    <s v="Ejecución de garantía"/>
    <d v="2026-02-24T00:00:00"/>
    <s v="05292-2026-0-1828-JR-CO-16"/>
    <s v="EN CALIFICACION"/>
    <s v="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
    <s v="07/04/2026 ESCRITO: ADJUNTO LIQUIDACION DE SALDO DEUDOR"/>
    <s v="TOTALIDAD DEL INMUEBLE"/>
    <d v="2026-06-16T00:00:00"/>
    <s v="SI"/>
    <s v="SE ENTREGA REQUERIMIENTO EN DOMICILIO"/>
    <s v="ALTO"/>
    <s v="SINVOLUNTAD DE PAGO/ SIN CAPACIDAD DE PAGO"/>
    <s v="SIN NEGOCIACIÓN"/>
  </r>
  <r>
    <x v="7"/>
    <s v="NIÑO DE GUZMAN/HUAMANI,ALEXANDER"/>
    <s v="MOROTE/CONDORPUSA,MISHELL"/>
    <s v="LORENA PRADA GONZALES"/>
    <s v="PAREDES MEDINA, CESAR AUGUSTO"/>
    <s v="107050101003812321"/>
    <n v="29482.58"/>
    <s v="SOLES"/>
    <d v="2026-02-24T00:00:00"/>
    <s v="TESTIMONIO"/>
    <s v="RECUPERABLE"/>
    <s v="32,614,83"/>
    <s v="LIMA"/>
    <s v="16º JUZGADO CIVIL-COMERCIAL"/>
    <x v="1"/>
    <m/>
    <m/>
    <m/>
    <x v="2"/>
    <s v="Ejecución de garantía"/>
    <d v="2026-02-24T00:00:00"/>
    <s v="05292-2026-0-1828-JR-CO-16"/>
    <s v="EN CALIFICACION"/>
    <s v="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
    <s v="07/04/2026 ESCRITO: ADJUNTO LIQUIDACION DE SALDO DEUDOR"/>
    <s v="TOTALIDAD DEL INMUEBLE"/>
    <d v="2026-06-16T00:00:00"/>
    <s v="SI"/>
    <s v="SE ENTREGA REQUERIMIENTO EN DOMICILIO"/>
    <s v="ALTO"/>
    <s v="SINVOLUNTAD DE PAGO/ SIN CAPACIDAD DE PAGO"/>
    <s v="SIN NEGOCIACIÓN"/>
  </r>
  <r>
    <x v="4"/>
    <s v="NIÑO DE GUZMAN/HUAMANI,ALEXANDER"/>
    <s v="MOROTE/CONDORPUSA,MISHELL"/>
    <s v="LORENA PRADA GONZALES"/>
    <s v="PAREDES MEDINA, YOSELYN LEONOR"/>
    <s v="107172101001222731"/>
    <n v="36753.160000000003"/>
    <s v="SOLES"/>
    <d v="2026-02-24T00:00:00"/>
    <s v="TESTIMONIO"/>
    <s v="RECUPERABLE"/>
    <s v="39,057.24"/>
    <s v="LIMA"/>
    <s v="16º JUZGADO CIVIL-COMERCIAL"/>
    <x v="1"/>
    <m/>
    <m/>
    <m/>
    <x v="2"/>
    <s v="Ejecución de garantía"/>
    <d v="2026-02-24T00:00:00"/>
    <s v="05292-2026-0-1828-JR-CO-16"/>
    <s v="EN CALIFICACION"/>
    <s v="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
    <s v="07/04/2026 ESCRITO: ADJUNTO LIQUIDACION DE SALDO DEUDOR"/>
    <s v="TOTALIDAD DEL INMUEBLE"/>
    <d v="2026-06-16T00:00:00"/>
    <s v="SI"/>
    <s v="SE ENTREGA REQUERIMIENTO EN DOMICILIO"/>
    <s v="ALTO"/>
    <s v="SINVOLUNTAD DE PAGO/ SIN CAPACIDAD DE PAGO"/>
    <s v="SIN NEGOCIACIÓN"/>
  </r>
  <r>
    <x v="3"/>
    <s v="NIÑO DE GUZMAN/HUAMANI,ALEXANDER"/>
    <s v="HINOSTROZA/ILDEFONSO, DIEGO ANDREE"/>
    <s v="LORENA PRADA GONZALES"/>
    <s v="KIM IMPORT PERU E.I.R.L."/>
    <s v="107147101001272819"/>
    <n v="66608.800000000003"/>
    <s v="SOLES"/>
    <d v="2026-02-25T00:00:00"/>
    <s v="147000011178"/>
    <s v="RECUPERABLE"/>
    <s v="73,390.63"/>
    <s v="LIMA"/>
    <s v="14º JUZGADO CIVIL-COMERCIAL"/>
    <x v="0"/>
    <d v="2026-02-17T00:00:00"/>
    <s v="05459-2026-23-1828-JR-CO-14"/>
    <n v="718449"/>
    <x v="1"/>
    <s v="Obligación de dar suma de dinero"/>
    <d v="2026-06-02T00:00:00"/>
    <s v="05459-2026-0-1817-JR-CO-14"/>
    <s v="EN CALIFICACION"/>
    <s v="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
    <s v="02/06/2026 ESCRITO: FORMALIZACION"/>
    <s v="ACCIONES Y DERECHOS"/>
    <d v="2026-06-16T00:00:00"/>
    <s v="SI"/>
    <s v="SE ENTREGA REQUERIMIENTO EN DOMICILIO"/>
    <s v="MEDIO"/>
    <s v="SINVOLUNTAD DE PAGO/ SIN CAPACIDAD DE PAGO"/>
    <s v="SIN NEGOCIACIÓN"/>
  </r>
  <r>
    <x v="2"/>
    <s v="NIÑO DE GUZMAN/HUAMANI,ALEXANDER"/>
    <s v="HINOSTROZA/ILDEFONSO, DIEGO ANDREE"/>
    <s v="LORENA PRADA GONZALES"/>
    <s v="GRUPO INTERNACIONAL SAIDA SOCIEDAD ANONIMA CERRADA"/>
    <s v="107038101003471116"/>
    <n v="84341.85"/>
    <s v="SOLES"/>
    <d v="2026-02-26T00:00:00"/>
    <s v="38000031639"/>
    <s v="RECUPERABLE"/>
    <s v="94,255.77"/>
    <s v="LIMA"/>
    <s v="11º JUZGADO CIVIL-COMERCIAL"/>
    <x v="0"/>
    <d v="2026-02-26T00:00:00"/>
    <s v="05521-2026-46-1828-JR-CO-11"/>
    <n v="305240"/>
    <x v="0"/>
    <m/>
    <m/>
    <m/>
    <m/>
    <s v="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
    <m/>
    <s v="TOTALIDAD DEL INMUEBLE"/>
    <d v="2026-06-16T00:00:00"/>
    <s v="SI"/>
    <s v="SE ENTREGA REQUERIMIENTO EN DOMICILIO"/>
    <s v="MEDIO"/>
    <s v="SINVOLUNTAD DE PAGO/ SIN CAPACIDAD DE PAGO"/>
    <s v="SIN NEGOCIACIÓN"/>
  </r>
  <r>
    <x v="6"/>
    <s v="NIÑO DE GUZMAN/HUAMANI,ALEXANDER"/>
    <s v="MOROTE/CONDORPUSA,MISHELL"/>
    <s v="LORENA PRADA GONZALES"/>
    <s v="PAYANO VICENTE, RODRIGO ALEXANDER"/>
    <s v="107074101002048448"/>
    <n v="20308.830000000002"/>
    <s v="SOLES"/>
    <d v="2026-02-26T00:00:00"/>
    <s v="74000018539"/>
    <s v="RECUPERABLE"/>
    <s v="34,747.21"/>
    <s v="LIMA"/>
    <s v="3° JUZGADO DE PAZ LETRADO BARRANCO Y MIRAFLORES"/>
    <x v="0"/>
    <d v="2026-02-26T00:00:00"/>
    <s v="00943-2026-53-1866-JP-CI-03"/>
    <n v="445837"/>
    <x v="0"/>
    <m/>
    <m/>
    <m/>
    <m/>
    <s v="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
    <m/>
    <s v="TOTALIDAD DEL MUEBLE"/>
    <d v="2026-06-16T00:00:00"/>
    <s v="SI"/>
    <s v="SE ENTREGA REQUERIMIENTO EN DOMICILIO"/>
    <s v="MEDIO"/>
    <s v="SINVOLUNTAD DE PAGO/ SIN CAPACIDAD DE PAGO"/>
    <s v="CON NEGOCIACIÓN"/>
  </r>
  <r>
    <x v="2"/>
    <s v="NIÑO DE GUZMAN/HUAMANI,ALEXANDER"/>
    <s v="HINOSTROZA/ILDEFONSO, DIEGO ANDREE"/>
    <s v="LORENA PRADA GONZALES"/>
    <s v="LI, WANZHU"/>
    <s v="107038101003470973"/>
    <n v="47353.9"/>
    <s v="SOLES"/>
    <d v="2026-02-27T00:00:00"/>
    <s v="38000031637"/>
    <s v="RECUPERABLE"/>
    <s v="51,272.87"/>
    <s v="LIMA"/>
    <s v="3° JUZGADO DE PAZ LETRADO BARRANCO Y MIRAFLORES"/>
    <x v="0"/>
    <d v="2026-02-27T00:00:00"/>
    <s v="00991-2026-17-1866-JP-CI-03"/>
    <n v="822915"/>
    <x v="1"/>
    <s v="Obligación de dar suma de dinero"/>
    <d v="2026-04-30T00:00:00"/>
    <s v="00991-2026-0-1809-JP-CI-03"/>
    <s v="ADMISION"/>
    <s v="TOTALIDAD QUE LE CORRESPONDEN AL AL FIADOR LI, MIAOZHU, DEL BIEN INMUEBLE UBICADO EN JIRON ROUSSEAU NUMERO 670, URBANIZACION SAN BORJA SUR – III ETAPA, SAN BORJA, LIMA, LIMA, INSCRITO EN LA PARTIDA ELECTRÓNICA N°45562964 DEL REGISTRO DE PROPIEDAD INMUEBLE"/>
    <s v="03/06/2026 ESCRITO: AUTO FINAL"/>
    <s v="TOTALIDAD DEL INMUEBLE"/>
    <d v="2026-06-16T00:00:00"/>
    <s v="SI"/>
    <s v="SE ENTREGA REQUERIMIENTO EN DOMICILIO"/>
    <s v="MEDIO"/>
    <s v="SINVOLUNTAD DE PAGO/ SIN CAPACIDAD DE PAGO"/>
    <s v="SIN NEGOCIACIÓN"/>
  </r>
  <r>
    <x v="2"/>
    <s v="NIÑO DE GUZMAN/HUAMANI,ALEXANDER"/>
    <s v="HINOSTROZA/ILDEFONSO, DIEGO ANDREE"/>
    <s v="LORENA PRADA GONZALES"/>
    <s v="RAMIREZ CORDOVA, SANDY"/>
    <s v="107038101003356283"/>
    <n v="34044.36"/>
    <s v="SOLES"/>
    <d v="2026-03-05T00:00:00"/>
    <s v="38000030649"/>
    <s v="RECUPERABLE"/>
    <s v="38,619.26"/>
    <s v="LIMA"/>
    <s v="3° JUZGADO DE PAZ LETRADO (SEDE SURCO - SAN BORJA)"/>
    <x v="0"/>
    <d v="2026-03-05T00:00:00"/>
    <s v="00447-2026-57-1825-JP-CI-03"/>
    <n v="473222"/>
    <x v="1"/>
    <s v="Obligación de dar suma de dinero"/>
    <d v="2026-05-25T00:00:00"/>
    <s v="00447-2026-0-1815-JR-CI-03"/>
    <s v="ADMISION"/>
    <s v="TOTALIDAD DEL BIEN INMUEBLE QUE LE CORRESPONDE AL FIADOR JAUREGUI DURAND, OSWALDO MARTIN, UBICADO EN JIRON PARURO NUMERO 1087 DEPARTAMENTO 303,CERCADO DE LIMA, LIMA, LIMA, INSCRITO EN LA PARTIDA ELECTRÓNICA N° 40376615 DEL REGISTRO DE PROPIEDAD INMUEBLE."/>
    <s v="02/06/2026 RES 01: ADMITIDA FORMALIZACION"/>
    <s v="TOTALIDAD DEL INMUEBLE"/>
    <d v="2026-06-17T00:00:00"/>
    <s v="SI"/>
    <s v="SE ENTREGA REQUERIMIENTO EN DOMICILIO"/>
    <s v="MEDIO"/>
    <s v="SINVOLUNTAD DE PAGO/ SIN CAPACIDAD DE PAGO"/>
    <s v="SIN NEGOCIACIÓN"/>
  </r>
  <r>
    <x v="5"/>
    <s v="NIÑO DE GUZMAN/HUAMANI,ALEXANDER"/>
    <s v="MOROTE/CONDORPUSA,MISHELL"/>
    <s v="LORENA PRADA GONZALES"/>
    <s v="GARCIA REATEGUI, JOSE LUIS"/>
    <s v="107178101000751721"/>
    <n v="23103.9"/>
    <s v="SOLES"/>
    <d v="2026-03-12T00:00:00"/>
    <s v="178000007140"/>
    <s v="RECUPERABLE"/>
    <s v="24,861,51"/>
    <s v="LIMA"/>
    <s v="3° JUZGADO DE PAZ LETRADO (SEDE SURCO - SAN BORJA)"/>
    <x v="0"/>
    <d v="2026-03-12T00:00:00"/>
    <s v="00080-2026-41-1825-JP-CO-03"/>
    <n v="187439"/>
    <x v="1"/>
    <s v="Obligación de dar suma de dinero"/>
    <d v="2026-06-10T00:00:00"/>
    <s v="00080-2026-0-1815-JP-CO-03"/>
    <s v="EN CALIFICACION"/>
    <s v="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
    <s v="10/06/2026 ESCRITO: FORMALIZACION"/>
    <s v="TOTALIDAD DEL INMUEBLE"/>
    <d v="2026-06-17T00:00:00"/>
    <s v="SI"/>
    <s v="SE ENTREGA REQUERIMIENTO EN DOMICILIO"/>
    <s v="MEDIO"/>
    <s v="SINVOLUNTAD DE PAGO/ SIN CAPACIDAD DE PAGO"/>
    <s v="SIN NEGOCIACIÓN"/>
  </r>
  <r>
    <x v="0"/>
    <s v="NIÑO DE GUZMAN/HUAMANI,ALEXANDER"/>
    <s v="HINOSTROZA/ILDEFONSO, DIEGO ANDREE"/>
    <s v="LORENA PRADA GONZALES"/>
    <s v="INOÑAN REYES, JIMMY ARTURO"/>
    <s v="107099101000976732"/>
    <n v="18671.060000000001"/>
    <s v="SOLES"/>
    <d v="2026-03-26T00:00:00"/>
    <s v="99000016234"/>
    <s v="RECUPERABLE"/>
    <s v="23,838.65"/>
    <s v="LIMA"/>
    <s v="JUZGADO DE PAZ LETRADO CIVIL DE SJM"/>
    <x v="0"/>
    <d v="2026-03-26T00:00:00"/>
    <s v="00176-2026-22-3002-JP-CI-02"/>
    <n v="736249"/>
    <x v="0"/>
    <m/>
    <m/>
    <m/>
    <m/>
    <s v="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
    <m/>
    <s v="TOTALIDAD DEL INMUEBLE"/>
    <d v="2026-06-17T00:00:00"/>
    <s v="SI"/>
    <s v="SE ENTREGA REQUERIMIENTO EN DOMICILIO"/>
    <s v="MEDIO"/>
    <s v="SINVOLUNTAD DE PAGO/ SIN CAPACIDAD DE PAGO"/>
    <s v="CON NEGOCIACIÓN"/>
  </r>
  <r>
    <x v="0"/>
    <s v="NIÑO DE GUZMAN/HUAMANI,ALEXANDER"/>
    <s v="HINOSTROZA/ILDEFONSO, DIEGO ANDREE"/>
    <s v="LORENA PRADA GONZALES"/>
    <s v="SOTO CABAÑAS, JEAN PIERRE"/>
    <s v="107099101002111096"/>
    <n v="26753.29"/>
    <s v="SOLES"/>
    <d v="2026-03-30T00:00:00"/>
    <s v="99000019718"/>
    <s v="RECUPERABLE"/>
    <s v="29391.3"/>
    <s v="LIMA"/>
    <s v="3° JUZGADO DE PAZ LETRADO (SEDE SURCO - SAN BORJA)"/>
    <x v="0"/>
    <d v="2026-03-30T00:00:00"/>
    <s v="00102-2026-28-1825-JP-CO-03"/>
    <n v="633490"/>
    <x v="1"/>
    <s v="Obligación de dar suma de dinero"/>
    <d v="2026-05-25T00:00:00"/>
    <s v="00102-2026-0-1815-JP-CO-03"/>
    <s v="SENTENCIA O AUTO FINAL"/>
    <s v="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
    <s v="02/07/2026 RES 02: AUTO FINAL"/>
    <s v="ACCIONES Y DERECHOS"/>
    <d v="2026-06-17T00:00:00"/>
    <s v="SI"/>
    <s v="SE ENTREGA REQUERIMIENTO EN DOMICILIO"/>
    <s v="MEDIO"/>
    <s v="SINVOLUNTAD DE PAGO/ SIN CAPACIDAD DE PAGO"/>
    <s v="SIN NEGOCIACIÓN"/>
  </r>
  <r>
    <x v="1"/>
    <s v="NIÑO DE GUZMAN/HUAMANI,ALEXANDER"/>
    <s v="MOROTE/CONDORPUSA,MISHELL"/>
    <s v="LORENA PRADA GONZALES"/>
    <s v="MAGUIÑA GARCIA, PERCY RICHARD"/>
    <s v="107180101000360203"/>
    <n v="60273.91"/>
    <s v="SOLES"/>
    <d v="2026-03-31T00:00:00"/>
    <s v="180000003118"/>
    <s v="IRRECUPERABLE"/>
    <s v="67,432.26"/>
    <s v="LIMA"/>
    <s v="6º JUZGADO CIVIL-COMERCIAL"/>
    <x v="0"/>
    <d v="2026-03-31T00:00:00"/>
    <s v="08316-2026-60-1828-JR-CO-06"/>
    <n v="164114"/>
    <x v="0"/>
    <m/>
    <m/>
    <m/>
    <m/>
    <s v="TOTALIDAD QUE LE CORRESPONDEN AL FIADOR CUADROS GONZALEZ SUSY DUVAL, DEL BIEN INMUEBLE UBICADO EN CALLE OCEANO LOTE 9, ATLANTICO NUMERO 306 – 310, URBANIZACION NEBTUNO, SANTIAGO DE SURCO. INSCRITO EN LA PARTIDA ELECTRÓNICA N°44569116 DEL REGISTRO DE PROPIEDAD INMUEBLE."/>
    <m/>
    <s v="TOTALIDAD DEL INMUEBLE"/>
    <d v="2026-06-17T00:00:00"/>
    <s v="SI"/>
    <s v="SE ENTREGA REQUERIMIENTO EN DOMICILIO"/>
    <s v="MEDIO"/>
    <s v="SINVOLUNTAD DE PAGO/ SIN CAPACIDAD DE PAGO"/>
    <s v="SIN NEGOCIACIÓN"/>
  </r>
  <r>
    <x v="3"/>
    <s v="NIÑO DE GUZMAN/HUAMANI,ALEXANDER"/>
    <s v="HINOSTROZA/ILDEFONSO, DIEGO ANDREE"/>
    <s v="LORENA PRADA GONZALES"/>
    <s v="VELA DASILVA, GLORIA"/>
    <s v="107147101001016154"/>
    <n v="40235.33"/>
    <s v="SOLES"/>
    <d v="2026-02-05T00:00:00"/>
    <s v="TESTIMONIO"/>
    <s v="RECUPERABLE"/>
    <s v="70,970.00"/>
    <s v="LIMA"/>
    <s v="14º JUZGADO CIVIL-COMERCIAL"/>
    <x v="1"/>
    <m/>
    <m/>
    <m/>
    <x v="2"/>
    <s v="Ejecución de garantía"/>
    <d v="2026-02-05T00:00:00"/>
    <s v="03834-2026-0-1828-JR-CO-14"/>
    <s v="EN CALIFICACION"/>
    <s v="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
    <s v="22/04/2026 ESCRITO: ADJUNTO LIQUIDACION CON FIRMA ORIGINAL"/>
    <s v="TOTALIDAD DEL INMUEBLE"/>
    <d v="2026-06-17T00:00:00"/>
    <s v="SI"/>
    <s v="SE ENTREGA REQUERIMIENTO EN DOMICILIO"/>
    <s v="MEDIO"/>
    <s v="SINVOLUNTAD DE PAGO/ SIN CAPACIDAD DE PAGO"/>
    <s v="SIN NEGOCIACIÓN"/>
  </r>
  <r>
    <x v="0"/>
    <s v="NIÑO DE GUZMAN/HUAMANI,ALEXANDER"/>
    <s v="HINOSTROZA/ILDEFONSO, DIEGO ANDREE"/>
    <s v="LORENA PRADA GONZALES"/>
    <s v="SANTILLAN CABAÑAS, JUAN CARLOS"/>
    <s v="107099101002127368"/>
    <n v="47978.51"/>
    <s v="SOLES"/>
    <d v="2026-03-31T00:00:00"/>
    <s v="99000019861"/>
    <s v="RECUPERABLE"/>
    <s v="52,126.97"/>
    <s v="LIMA"/>
    <s v="3° JUZGADO DE PAZ LETRADO (SEDE SURCO - SAN BORJA)"/>
    <x v="0"/>
    <d v="2026-03-31T00:00:00"/>
    <s v="00103-2026-5-1825-JP-CO-03"/>
    <n v="823076"/>
    <x v="1"/>
    <s v="Obligación de dar suma de dinero"/>
    <d v="2026-05-25T00:00:00"/>
    <s v="00103-2026-0-1815-JP-CO-03"/>
    <s v="SENTENCIA O AUTO FINAL"/>
    <s v="TOTALIDAD QUE LE CORRESPONDEN AL TITULAR SANTILLAN CABAÑAS, JUAN CARLOS, DEL BIEN INMUEBLE UBICADO EN PROYECTO INTEGRAL A.H UNIDOS DEL MARGEN IZQUIERDO DE JOSE CARLOS MARIATEGUI MZ M2 LOTE 1, SECTOR SAN MIGUEL ARCANGEL, PARCELA JAPON, SAN JUAN DE MIRAFLORES, LIMA, LIMA INSCRITO EN LA PARTIDA ELECTRÓNICA N° P03205241 DEL REGISTRO DE PROPIEDAD INMUEBLE."/>
    <s v="03/07/2026 RES 02: AUTO FINAL"/>
    <s v="TOTALIDAD DEL INMUEBLE"/>
    <d v="2026-06-13T00:00:00"/>
    <s v="SI"/>
    <s v="SE ENTREGA REQUERIMIENTO EN DOMICILIO"/>
    <s v="MEDIO"/>
    <s v="SINVOLUNTAD DE PAGO/ SIN CAPACIDAD DE PAGO"/>
    <s v="SIN NEGOCIACIÓN"/>
  </r>
  <r>
    <x v="0"/>
    <s v="NIÑO DE GUZMAN/HUAMANI,ALEXANDER"/>
    <s v="HINOSTROZA/ILDEFONSO, DIEGO ANDREE"/>
    <s v="LORENA PRADA GONZALES"/>
    <s v="MONTAÑEZ ACUÑA, ROSMERY"/>
    <s v="107099101001876867"/>
    <n v="52791.54"/>
    <s v="SOLES"/>
    <d v="2026-03-31T00:00:00"/>
    <s v="99000017621"/>
    <s v="RECUPERABLE"/>
    <s v="56,034.19"/>
    <s v="LIMA"/>
    <s v="3º JUZGADO CIVIL-COMERCIAL"/>
    <x v="0"/>
    <d v="2026-03-31T00:00:00"/>
    <s v="08310-2026-53-1828-JR-CO-03"/>
    <n v="358962"/>
    <x v="0"/>
    <m/>
    <m/>
    <m/>
    <m/>
    <s v="TOTALIDAD QUE LE CORRESPONDEN AL TITULAR MONTAÑEZ ACUÑA ROSMERY, DEL BIEN INMUEBLE UBICADO EN URBANIZACION VIRGEN DE COCHARCAS MZ G LOTE 32 UNIDAD MOBILIARIA Nº 01, VILLA EL SALVADOR, LIMA, LIMA INSCRITO EN LA PARTIDA ELECTRÓNICA N°P03314992 DEL REGISTRO DE PROPIEDAD INMUEBLE."/>
    <m/>
    <s v="TOTALIDAD DEL INMUEBLE"/>
    <d v="2026-06-13T00:00:00"/>
    <s v="SI"/>
    <s v="SE ENTREGA REQUERIMIENTO EN DOMICILIO"/>
    <s v="MEDIO"/>
    <s v="SINVOLUNTAD DE PAGO/ SIN CAPACIDAD DE PAGO"/>
    <s v="SIN NEGOCIACIÓN"/>
  </r>
  <r>
    <x v="5"/>
    <s v="NIÑO DE GUZMAN/HUAMANI,ALEXANDER"/>
    <s v="MOROTE/CONDORPUSA,MISHELL"/>
    <s v="LORENA PRADA GONZALES"/>
    <s v="MOSCOSO ALZAMORA, ANGELA"/>
    <s v="107178101000829157"/>
    <n v="18176.55"/>
    <s v="SOLES"/>
    <d v="2026-04-01T00:00:00"/>
    <s v="178000007866"/>
    <s v="RECUPERABLE"/>
    <s v="24,047,03"/>
    <s v="LIMA SUR"/>
    <s v="JUZGADO DE PAZ LETRADO CIVIL DE SJM"/>
    <x v="0"/>
    <d v="2026-04-01T00:00:00"/>
    <s v="00188-2026-80-3002-JP-CI-02"/>
    <n v="351195"/>
    <x v="0"/>
    <m/>
    <m/>
    <m/>
    <m/>
    <s v="TOTALIDAD QUE LE CORRESPONDEN AL FIADOR ALZAMORA GARATE, ROSARIO, DEL BIEN INMUEBLE UBICADO EN PUEBLO JOVEN PAMPLONA ALTA MZ V6 SUB LOTE 25A SECTOR 5 DE MAYO, SAN JUAN DE MIRAFLORES, LIMA, LIMA. INSCRITO EN LA PARTIDA ELECTRÓNICA N° P03331524 DEL REGISTRO DE PROPIEDAD INMUEBLE."/>
    <m/>
    <s v="TOTALIDAD DEL INMUEBLE"/>
    <d v="2026-06-13T00:00:00"/>
    <s v="SI"/>
    <s v="SE ENTREGA REQUERIMIENTO EN DOMICILIO"/>
    <s v="MEDIO"/>
    <s v="SINVOLUNTAD DE PAGO/ SIN CAPACIDAD DE PAGO"/>
    <s v="CON NEGOCIACIÓN"/>
  </r>
  <r>
    <x v="3"/>
    <s v="NIÑO DE GUZMAN/HUAMANI,ALEXANDER"/>
    <s v="HINOSTROZA/ILDEFONSO, DIEGO ANDREE"/>
    <s v="LORENA PRADA GONZALES"/>
    <s v="ROSAS ESPINOZA, ELIAS"/>
    <s v="107147101001147353"/>
    <n v="39964.620000000003"/>
    <s v="SOLES"/>
    <d v="2026-04-01T00:00:00"/>
    <s v="147000010050"/>
    <s v="RECUPERABLE"/>
    <s v="43,744.79"/>
    <s v="LIMA"/>
    <s v="3° JUZGADO DE PAZ LETRADO (SEDE SURCO - SAN BORJA)"/>
    <x v="0"/>
    <d v="2026-04-01T00:00:00"/>
    <s v="00122-2026-80-1825-JP-CO-03"/>
    <n v="782570"/>
    <x v="0"/>
    <m/>
    <m/>
    <m/>
    <m/>
    <s v="TOTALIDAD DEL BIEN INMUEBLE QUE LE CORRESPONDE AL TITULAR ROSAS ESPINOZA ELIAS, UBICADO EN MANZANA N LOTE 16, URBANIZACION ESMERALDA SEGUNDA ETAPA CARABAYLLO, LIMA, LIMA INSCRITO EN LA PARTIDA ELECTRÓNICA N° 13844779 DEL REGISTRO DE PROPIEDAD INMUEBLE."/>
    <m/>
    <s v="TOTALIDAD DEL INMUEBLE"/>
    <d v="2026-06-13T00:00:00"/>
    <s v="SI"/>
    <s v="SE ENTREGA REQUERIMIENTO EN DOMICILIO"/>
    <s v="MEDIO"/>
    <s v="SINVOLUNTAD DE PAGO/ SIN CAPACIDAD DE PAGO"/>
    <s v="SIN NEGOCIACIÓN"/>
  </r>
  <r>
    <x v="5"/>
    <s v="NIÑO DE GUZMAN/HUAMANI,ALEXANDER"/>
    <s v="MOROTE/CONDORPUSA,MISHELL"/>
    <s v="LORENA PRADA GONZALES"/>
    <s v="TORO CANAL, MILAGROS LUCILA"/>
    <s v="107178101001090998"/>
    <n v="19502.810000000001"/>
    <s v="SOLES"/>
    <d v="2026-04-15T00:00:00"/>
    <s v="178000010320"/>
    <s v="RECUPERABLE"/>
    <s v="22,259.61"/>
    <s v="LIMA"/>
    <s v="3° JUZGADO DE PAZ LETRADO BARRANCO Y MIRAFLORES"/>
    <x v="0"/>
    <d v="2026-04-15T00:00:00"/>
    <s v="01370-2026-95-1866-JP-CI-03"/>
    <n v="65269"/>
    <x v="1"/>
    <s v="Obligación de dar suma de dinero"/>
    <d v="2026-06-19T00:00:00"/>
    <s v="01370-2026-0-1809-JP-CI-03"/>
    <s v="ADMISION"/>
    <s v="TOTALIDAD DEL BIEN QUE LE CORRESPONDEN AL FIADOR CANAL CARRASCO, MANUELA ROSA, DEL BIEN INMUEBLE UBICADO EN PUEBLO JOVEN VILLA EL SALVADOR MZ A LOTE 22 SECTOR PRIMERO, GRUPO RESIDENCIAL 10, VILLA EL SALVADOR, LIMA, LIMA INSCRITO EN LA PARTIDA ELECTRÓNICA N° P03007815 DEL REGISTRO DE PROPIEDAD INMUEBLE."/>
    <s v="30/06/2026 RES 1 ADMITIDA"/>
    <s v="TOTALIDAD DEL INMUEBLE"/>
    <d v="2026-06-13T00:00:00"/>
    <s v="SI"/>
    <s v="SE ENTREGA REQUERIMIENTO EN DOMICILIO"/>
    <s v="MEDIO"/>
    <s v="SINVOLUNTAD DE PAGO/ SIN CAPACIDAD DE PAGO"/>
    <s v="SIN NEGOCIACIÓN"/>
  </r>
  <r>
    <x v="0"/>
    <s v="NIÑO DE GUZMAN/HUAMANI,ALEXANDER"/>
    <s v="HINOSTROZA/ILDEFONSO, DIEGO ANDREE"/>
    <s v="LORENA PRADA GONZALES"/>
    <s v="SOTO CABAÑAS, JEAN PIERRE"/>
    <s v="107099101002224944"/>
    <n v="27822.85"/>
    <s v="SOLES"/>
    <d v="2026-04-27T00:00:00"/>
    <s v="99000020687"/>
    <s v="IRRECUPERABLE"/>
    <s v="31,148,39"/>
    <s v="LIMA SUR"/>
    <s v="JUZGADO DE PAZ LETRADO CIVIL DE SJM"/>
    <x v="0"/>
    <d v="2026-04-27T00:00:00"/>
    <s v="00247-2026-98-3002-JP-CI-02"/>
    <n v="388277"/>
    <x v="0"/>
    <m/>
    <m/>
    <m/>
    <m/>
    <s v="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
    <m/>
    <s v="ACCIONES Y DERECHOS"/>
    <d v="2026-06-13T00:00:00"/>
    <s v="SI"/>
    <s v="SE ENTREGA REQUERIMIENTO EN DOMICILIO"/>
    <s v="MEDIO"/>
    <s v="SINVOLUNTAD DE PAGO/ SIN CAPACIDAD DE PAGO"/>
    <s v="SIN NEGOCIACIÓN"/>
  </r>
  <r>
    <x v="2"/>
    <s v="NIÑO DE GUZMAN/HUAMANI,ALEXANDER"/>
    <s v="HINOSTROZA/ILDEFONSO, DIEGO ANDREE"/>
    <s v="LORENA PRADA GONZALES"/>
    <s v="EFICIENCIA DINAMICA S.R.L"/>
    <s v="107038101003176580"/>
    <n v="272804.2"/>
    <s v="SOLES"/>
    <d v="2026-04-29T00:00:00"/>
    <s v="38000029035"/>
    <s v="RECUPERABLE"/>
    <s v="331,584.63"/>
    <s v="LIMA"/>
    <s v="17º JUZGADO CIVIL-COMERCIAL"/>
    <x v="0"/>
    <d v="2026-04-29T00:00:00"/>
    <s v="11340-2026-1-1828-JR-CO-17"/>
    <n v="305333"/>
    <x v="1"/>
    <s v="Obligación de dar suma de dinero"/>
    <d v="2026-06-02T00:00:00"/>
    <s v="11340-2026-0-1817-JR-CO-17"/>
    <s v="ADMISION"/>
    <s v="1, TOTALIDAD QUE LE CORRESPONDEN AL FIADOR RAMIRES QUISPE, ELODIA, DEL BIEN INMUEBLE UBICADO EN ASENTAMIENTO HUMANO NUEVO PROGRESO MZ I LOTE 23, VENTANILLA, CALLAO, LIMA. INSCRITO EN LA PARTIDA ELECTRÓNICA N°P01227543 DEL REGISTRO DE PROPIEDAD INMUEBLE. 2, TOTALIDAD QUE LE CORRESPONDEN AL FIADOR CHINCHIHUALPA MONTES, EDGAR TEOFILO, DEL BIEN INMUEBLE UBICADO EN LOTE 10 DE LA MANZANA D HABILITACION URBANA DE LA COOPERATIVA DE VIVIENDA PABLO CANEPA LTDA, LA MOLINA, LIMA. INSCRITO EN LA PARTIDA ELECTRÓNICA N° 49026478 DEL REGISTRO DE PROPIEDAD INMUEBLE."/>
    <s v="03/07/2026 ESCRITO: ABSUELVO CONTRADICCION"/>
    <s v="TOTALIDAD DEL INMUEBLE"/>
    <d v="2026-06-13T00:00:00"/>
    <s v="SI"/>
    <s v="SE ENTREGA REQUERIMIENTO EN DOMICILIO"/>
    <s v="MEDIO"/>
    <s v="SINVOLUNTAD DE PAGO/ SIN CAPACIDAD DE PAGO"/>
    <s v="SIN NEGOCIACIÓN"/>
  </r>
  <r>
    <x v="2"/>
    <s v="NIÑO DE GUZMAN/HUAMANI,ALEXANDER"/>
    <s v="HINOSTROZA/ILDEFONSO, DIEGO ANDREE"/>
    <s v="LORENA PRADA GONZALES"/>
    <s v="INVERSIONES B &amp; P DEL PERU S.A.C"/>
    <s v="107038101003375365"/>
    <n v="92874.67"/>
    <s v="SOLES"/>
    <d v="2026-04-29T00:00:00"/>
    <s v="38000030817"/>
    <s v="RECUPERABLE"/>
    <s v="99,891.04"/>
    <s v="LIMA"/>
    <s v="7º JUZGADO CIVIL-COMERCIAL"/>
    <x v="0"/>
    <d v="2026-04-29T00:00:00"/>
    <s v="11341-2026-74-1828-JR-CO-07"/>
    <n v="96835"/>
    <x v="0"/>
    <m/>
    <m/>
    <m/>
    <m/>
    <s v="1, LA TOTALIDAD QUE LE CORRESPONDE AL FIADOR SOLIDARIO QUINTANA CAPCHA, WILFREDO PERCY, DEL BIEN INMUEBLE UBICADO EN INSCRIPCION DE REGISTRO DE PREDIOS HABILITACION URBANA CON CONSTRUCCION SIMULTANEA – TIPO 5 – POR ETAPAS, AVENIDA LOS NOGALES NUMERO 251, ESTACIONAMIENTO N° 52, DISTRITO DEL AGUSTINO, INSCRITO EN LA PARTIDA ELECTRÓNICA N° 13680809 DEL REGISTRO DE PROPIEDAD INMUEBLE. 2, E ACCIONES Y DERECHOS QUE LE CORRESPONDEN AL FIADOR SOLIDARIO QUINTANA CAPCHA, WILFREDO PERCY, DEL BIEN INMUEBLE UBICADO EN INSCRIPCION DE REGISTRO DE PREDIOS,DEPARTAMENTO N°907, TORRE 1 – HABILITACION URBANA CON CONSTRUCCION SIMULTANEA – TIPO 5 – POR ETAPAS, AVENIDA LOS NOGALES N°251, DISTRITO DEL AGUSTINO, INSCRITO EN LA PARTIDA ELECTRÓNICA N° 13681375 DEL REGISTRO DE PROPIEDAD INMUEBLE."/>
    <m/>
    <s v="TOTALIDAD DEL INMUEBLE"/>
    <d v="2026-06-13T00:00:00"/>
    <s v="SI"/>
    <s v="SE ENTREGA REQUERIMIENTO EN DOMICILIO"/>
    <s v="MEDIO"/>
    <s v="SINVOLUNTAD DE PAGO/ SIN CAPACIDAD DE PAGO"/>
    <s v="SIN NEGOCIACIÓN"/>
  </r>
  <r>
    <x v="2"/>
    <s v="NIÑO DE GUZMAN/HUAMANI,ALEXANDER"/>
    <s v="HINOSTROZA/ILDEFONSO, DIEGO ANDREE"/>
    <s v="LORENA PRADA GONZALES"/>
    <s v="PAQUICO ACHACO, TEODOSIA FRANCISCA"/>
    <s v="107038101003341883"/>
    <n v="31258.53"/>
    <s v="SOLES"/>
    <d v="2026-04-30T00:00:00"/>
    <s v="38000030529"/>
    <s v="IRRECUPERABLE"/>
    <s v="34,526.18"/>
    <s v="LIMA"/>
    <s v="3° JUZGADO DE PAZ LETRADO (SEDE SURCO - SAN BORJA)"/>
    <x v="0"/>
    <d v="2026-04-30T00:00:00"/>
    <s v="00805-2026-62-1825-JP-CI-03"/>
    <n v="590936"/>
    <x v="0"/>
    <m/>
    <m/>
    <m/>
    <m/>
    <s v="1.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6. 2.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7 DEL REGISTRO DE PROPIEDAD INMUEBLE."/>
    <m/>
    <s v="ACCIONES Y DERECHOS"/>
    <d v="2026-06-13T00:00:00"/>
    <s v="SI"/>
    <s v="SE ENTREGA REQUERIMIENTO EN DOMICILIO"/>
    <s v="MEDIO"/>
    <s v="SINVOLUNTAD DE PAGO/ SIN CAPACIDAD DE PAGO"/>
    <s v="SIN NEGOCIACIÓN"/>
  </r>
  <r>
    <x v="5"/>
    <s v="NIÑO DE GUZMAN/HUAMANI,ALEXANDER"/>
    <s v="MOROTE/CONDORPUSA,MISHELL"/>
    <s v="LORENA PRADA GONZALES"/>
    <s v="MORENO YUNGAGALLO, MOISES OSCAR"/>
    <s v="107178101001012449"/>
    <n v="26257.95"/>
    <s v="SOLES"/>
    <d v="2026-05-04T00:00:00"/>
    <s v="147000012475"/>
    <s v="RECUPERABLE"/>
    <s v="31,940.26"/>
    <s v="LIMA SUR"/>
    <s v="JUZGADO DE PAZ LETRADO CIVIL DE SJM"/>
    <x v="0"/>
    <d v="2026-05-04T00:00:00"/>
    <s v="00259-2026-60-3002-JP-CI-02"/>
    <n v="397020"/>
    <x v="0"/>
    <m/>
    <m/>
    <m/>
    <m/>
    <s v="ACCIONES Y DERECHOS QUE LE CORRESPONDE AL TITULAR MORENO YUNGAGALLO, MOISES OSCAR, DEL BIEN INMUEBLE UBICADO EN PLAN INTEGRAL PAMPAS DE SAN JUAN MZ E LOTE 22, PUEBLO JOVEN TREBOL AZUL, SAN JUAN DE MIRAFLORES, LIMA, LIMA INSCRITO EN LA PARTIDA ELECTRÓNICA N° P03106751 DEL REGISTRO DE PROPIEDAD INMUEBLE,"/>
    <m/>
    <s v="ACCIONES Y DERECHOS"/>
    <d v="2026-06-12T00:00:00"/>
    <s v="SI"/>
    <s v="SE ENTREGA REQUERIMIENTO EN DOMICILIO"/>
    <s v="MEDIO"/>
    <s v="SINVOLUNTAD DE PAGO/ SIN CAPACIDAD DE PAGO"/>
    <s v="CON NEGOCIACIÓN"/>
  </r>
  <r>
    <x v="2"/>
    <s v="NIÑO DE GUZMAN/HUAMANI,ALEXANDER"/>
    <s v="HINOSTROZA/ILDEFONSO, DIEGO ANDREE"/>
    <s v="LORENA PRADA GONZALES"/>
    <s v="GRUPO MILU GP SOCIEDAD ANONIMA CERRADA - GRUPO MILU GP S.A.C."/>
    <s v="107038101003359561"/>
    <n v="24522.639999999999"/>
    <s v="SOLES"/>
    <d v="2026-06-12T00:00:00"/>
    <s v="38000030674"/>
    <s v="RECUPERABLE"/>
    <s v="26,768.13_x000a_"/>
    <s v="LIMA"/>
    <s v="3° JUZGADO DE PAZ LETRADO (SEDE SURCO - SAN BORJA)"/>
    <x v="0"/>
    <d v="2026-06-12T00:00:00"/>
    <s v="01124-2026-39-1825-JP-CI-03"/>
    <n v="843691"/>
    <x v="0"/>
    <m/>
    <m/>
    <m/>
    <m/>
    <s v="LA TOTALIDAD QUE LE CORRESPONDEN  AL FIADOR, PEÑA QUISPE MARISOL DEL BIEN MUEBLE VEHICULAR CON PLACA BRH420, MARCA FORD, MODELO ECOSPORT, AÑO 2020, COLOR NEGRO, INSCRITO EN LA PARTIDA ELECTRÓNICA N°54281795 DEL REGISTRO DE PROPIEDAD VEHICULAR "/>
    <m/>
    <s v="TOTALIDAD DEL MUEBLE"/>
    <d v="2026-06-30T00:00:00"/>
    <s v="SI"/>
    <s v="SE DEJA REQUERIMIENTO EN INMUEBLE"/>
    <s v="MEDIO"/>
    <s v="SINVOLUNTAD DE PAGO/ SIN CAPACIDAD DE PAGO"/>
    <m/>
  </r>
  <r>
    <x v="8"/>
    <s v="NIÑO DE GUZMAN/HUAMANI,ALEXANDER"/>
    <s v="HINOSTROZA/ILDEFONSO, DIEGO ANDREE"/>
    <s v="LORENA PRADA GONZALES"/>
    <s v="PEREZ NICOLAS, DIONICIO ESTANISLAO"/>
    <s v="107146101001123916"/>
    <n v="17780.400000000001"/>
    <s v="SOLES"/>
    <d v="2026-06-22T00:00:00"/>
    <s v="146000009405"/>
    <s v="RECUPERABLE"/>
    <s v="19,655.55"/>
    <s v="LIMA"/>
    <s v="3° JUZGADO DE PAZ LETRADO (SEDE SURCO - SAN BORJA)"/>
    <x v="0"/>
    <d v="2026-06-22T00:00:00"/>
    <s v="00284-2026-91-1825-JP-CO-03"/>
    <n v="902056"/>
    <x v="0"/>
    <m/>
    <m/>
    <m/>
    <m/>
    <s v="SOBRE LA TOTALIDAD DEL BIEN INMUEBLE DE LA SOCIEDAD CONYUGAL CONFORMADA POR PEREZ NICOLAS, DIONICIO ESTANISLAO (DNI 18083735) y FARRO CACHAY, MARY CARMEN (DNI 40820037), DEL BIEN INMUEBLE UBICADO EN ASENTAMIENTO HUMANO JOSE CARLOS MARIATEGUI - AMPLIACION V ETAPA MZ W31 LOTE 6 PARCELA 2, SECTOR AMPLIACION W3, SAN JUAN DE LURIGANCHO, LIMA, LIMA, INSCRITO EN LA PARTIDA ELECTRÓNICA N° P02159313 DEL REGISTRO DE PROPIEDAD INMUEBLE"/>
    <m/>
    <s v="TOTALIDAD DEL MUEBLE"/>
    <d v="2026-06-30T00:00:00"/>
    <s v="SI"/>
    <s v="SE DEJA REQUERIMIENTO EN INMUEBLE"/>
    <s v="MEDIO"/>
    <s v="SINVOLUNTAD DE PAGO/ SIN CAPACIDAD DE PAGO"/>
    <m/>
  </r>
  <r>
    <x v="6"/>
    <s v="NIÑO DE GUZMAN/HUAMANI,ALEXANDER"/>
    <s v="MOROTE/CONDORPUSA,MISHELL"/>
    <s v="LORENA PRADA GONZALES"/>
    <s v="MR. SWING EMPRESA DE SERVICIOS PRODUCCIONES Y PROMOTORA DE ESPECTACULOS E.I.R.L."/>
    <s v="107074101002247750"/>
    <n v="96191.11"/>
    <s v="SOLES"/>
    <d v="2026-06-26T00:00:00"/>
    <s v="74000020373"/>
    <s v="RECUPERABLE"/>
    <s v="103,698.67 "/>
    <s v="LIMA"/>
    <s v="12º JUZGADO CIVIL-COMERCIAL"/>
    <x v="0"/>
    <d v="2026-06-26T00:00:00"/>
    <s v="17790-2026-86-1828-JR-CO-12"/>
    <n v="622205"/>
    <x v="0"/>
    <m/>
    <m/>
    <m/>
    <m/>
    <s v="LAS ACCIONES Y DERECHOS QUE LE CORRESPONDEN A LOS FIADORES MARCHENA VALVERDE EDGAR HUGO CON DNI 08169986 Y MARCHENA VALVERDE MIGUEL ANGEL CON DNI 41356645, DEL BIEN INMUEBLE UBICADO EN ASENTAMIENTO HUMANO PAMPA SAN JUAN DE AMANCAES MZ 16B LOTE 6, DISTRITO EL RIMAC, LIMA,LIMA INSCRITO EN LA PARTIDA ELECTRÓNICA N° P02059712 DEL REGISTRO DE PROPIEDAD INMUEBLE"/>
    <m/>
    <m/>
    <d v="2026-06-30T00:00:00"/>
    <s v="SI"/>
    <s v="SE DEJA REQUERIMIENTO EN INMUEBLE"/>
    <s v="MEDIO"/>
    <s v="SINVOLUNTAD DE PAGO/ SIN CAPACIDAD DE PAGO"/>
    <m/>
  </r>
  <r>
    <x v="3"/>
    <s v="NIÑO DE GUZMAN/HUAMANI,ALEXANDER"/>
    <s v="HINOSTROZA/ILDEFONSO, DIEGO ANDREE"/>
    <s v="LORENA PRADA GONZALES"/>
    <s v="VELASQUEZ BARBOZA, JUAN CARLOS"/>
    <s v="107147101001329068"/>
    <n v="16762.37"/>
    <s v="SOLES"/>
    <d v="2026-06-26T00:00:00"/>
    <s v="147000011659"/>
    <s v="RECUPERABLE"/>
    <s v="18,587.84"/>
    <s v="LIMA"/>
    <s v="3° JUZGADO DE PAZ LETRADO (SEDE SURCO - SAN BORJA)"/>
    <x v="0"/>
    <d v="2026-06-26T00:00:00"/>
    <s v="00299-2026-19-1825-JP-CO-03"/>
    <n v="747460"/>
    <x v="0"/>
    <m/>
    <m/>
    <m/>
    <m/>
    <s v="LA TOTALIDAD QUE LE CORRESPONDEN AL TITULAR VELASQUEZ BARBOZA, JUAN CARLOS (DNI 09880450) DEL BIEN MUEBLE VEHICULAR CON PLACA F4S049, MARCA KIA, MODELO CERATO, AÑO 2014, COLOR PLATA BRILLANTE, INSCRITO EN LA PARTIDA ELECTRÓNICA N° 52787276 DEL REGISTRO DE PROPIEDAD VEHICULAR"/>
    <m/>
    <s v="VEHICULO"/>
    <d v="2026-06-30T00:00:00"/>
    <s v="SI"/>
    <s v="SE DEJA REQUERIMIENTO EN INMUEBLE"/>
    <s v="MEDIO"/>
    <s v="SINVOLUNTAD DE PAGO/ SIN CAPACIDAD DE PAGO"/>
    <m/>
  </r>
  <r>
    <x v="5"/>
    <s v="NIÑO DE GUZMAN/HUAMANI,ALEXANDER"/>
    <s v="MOROTE/CONDORPUSA,MISHELL"/>
    <s v="LORENA PRADA GONZALES"/>
    <s v="AUQUI RUIZ, PETER"/>
    <s v="107178101000984256"/>
    <n v="28275.39"/>
    <s v="SOLES"/>
    <d v="2026-06-26T00:00:00"/>
    <s v="178000009330"/>
    <s v="RECUPERABLE"/>
    <s v="31,920.28 "/>
    <s v="LIMA"/>
    <s v="3° JUZGADO DE PAZ LETRADO (SEDE SURCO - SAN BORJA)"/>
    <x v="0"/>
    <d v="2026-06-26T00:00:00"/>
    <s v="00300-2026-9-1825-JP-CO-03"/>
    <n v="796224"/>
    <x v="0"/>
    <m/>
    <m/>
    <m/>
    <m/>
    <s v="SOBRE LA TOTALIDAD DE ACCIONES Y DERECHOS QUE LE CORRESPONDEN A LOS TITULARES AUQUI RUIZ, PETER (DNI 47087954) Y CAMA ARROYO, MANUELA (DNI 43405412), DEL BIEN INMUEBLE UBICADO EN ASENTAMIENTO HUMANO CENTRO POBLADO RURAL BUENA VISTA MZ A LOTE 24 LURIN, LIMA, LIMA INSCRITO EN LA PARTIDA ELECTRÓNICA N° P03287658  DEL REGISTRO DE PROPIEDAD INMUEBLE."/>
    <m/>
    <s v="TOTALIDAD DEL MUEBLE"/>
    <d v="2026-06-30T00:00:00"/>
    <s v="SI"/>
    <s v="SE DEJA REQUERIMIENTO EN INMUEBLE"/>
    <s v="MEDIO"/>
    <s v="SINVOLUNTAD DE PAGO/ SIN CAPACIDAD DE PAGO"/>
    <m/>
  </r>
  <r>
    <x v="8"/>
    <s v="NIÑO DE GUZMAN/HUAMANI,ALEXANDER"/>
    <s v="HINOSTROZA/ILDEFONSO, DIEGO ANDREE"/>
    <s v="LORENA PRADA GONZALES"/>
    <s v="AGUIRRE OJEDA, DIEGO FERNANDO"/>
    <s v="107146101001154209"/>
    <n v="48873.919999999998"/>
    <s v="SOLES"/>
    <d v="2025-09-18T00:00:00"/>
    <s v="146000009663"/>
    <s v="IRRECUPERABLE"/>
    <s v="S/ 54,918.96"/>
    <s v="LIMA"/>
    <s v="7°JUZGADO CIVIL-COMERCIAL DE LIMA"/>
    <x v="1"/>
    <m/>
    <m/>
    <m/>
    <x v="2"/>
    <s v="Obligación de dar suma de dinero"/>
    <d v="2025-09-18T00:00:00"/>
    <s v="21509-2025-0-1828-JR-CO-07"/>
    <s v="SENTENCIA O AUTO FINAL"/>
    <s v="NINGUNO"/>
    <s v="06/05/2026: Se consiente auto final "/>
    <s v="NINGUNO"/>
    <d v="2026-06-30T00:00:00"/>
    <s v="SI"/>
    <s v="SE ENTREGA REQUERIMIENTO EN DOMICILIO"/>
    <s v="BAJO"/>
    <s v="SINVOLUNTAD DE PAGO/ SIN CAPACIDAD DE PAGO"/>
    <s v="SIN NEGOCIACIÓN"/>
  </r>
  <r>
    <x v="8"/>
    <s v="NIÑO DE GUZMAN/HUAMANI,ALEXANDER"/>
    <s v="HINOSTROZA/ILDEFONSO, DIEGO ANDREE"/>
    <s v="LORENA PRADA GONZALES"/>
    <s v="BARACCO HUARCAYA, RENZO"/>
    <s v="107146101001077930"/>
    <n v="17111.09"/>
    <s v="SOLES"/>
    <d v="2024-06-05T00:00:00"/>
    <s v="146000009022"/>
    <s v="RECUPERABLE"/>
    <s v="S/ 18,081.12"/>
    <s v="LIMA SUR"/>
    <s v="JUZGADO DE PAZ LETRADO CIVL DE SAN JUAN DE MIRAFLORES"/>
    <x v="2"/>
    <d v="2024-06-05T00:00:00"/>
    <s v="00473-2024-80-3002-JP-CI-02"/>
    <s v="-"/>
    <x v="3"/>
    <s v="Obligación de dar suma de dinero"/>
    <d v="2024-06-05T00:00:00"/>
    <s v="00473-2024-0-3002-JP-CI-02"/>
    <s v="SENTENCIA O AUTO FINAL"/>
    <s v="RETENCIÓN DE HABERES (REMUNERACIONES) Y CUENTAS BANCARIAS"/>
    <s v="17/04/2026: Se solicitó se disponega el endoso del monto abonado por el demandado."/>
    <s v="REMUNERACIONES Y CUENTA DE AHORRO"/>
    <d v="2026-06-30T00:00:00"/>
    <s v="SI"/>
    <s v="SE ENTREGA REQUERIMIENTO EN DOMICILIO"/>
    <s v="BAJO"/>
    <s v="SINVOLUNTAD DE PAGO/ SIN CAPACIDAD DE PAGO"/>
    <s v="SIN NEGOCIACIÓN"/>
  </r>
  <r>
    <x v="8"/>
    <s v="NIÑO DE GUZMAN/HUAMANI,ALEXANDER"/>
    <s v="HINOSTROZA/ILDEFONSO, DIEGO ANDREE"/>
    <s v="LORENA PRADA GONZALES"/>
    <s v="BARTRA MULLUHUARA, ERLIN LAYONNELL"/>
    <s v="107205101000134674"/>
    <n v="68000"/>
    <s v="SOLES"/>
    <d v="2025-10-13T00:00:00"/>
    <s v="20500001202"/>
    <s v="IRRECUPERABLE"/>
    <s v="S/ 80,451.46"/>
    <s v="LIMA"/>
    <s v="4°JUZGADO CIVIL-COMERCIAL DE LIMA"/>
    <x v="1"/>
    <m/>
    <m/>
    <m/>
    <x v="2"/>
    <s v="Obligación de dar suma de dinero"/>
    <d v="2025-09-30T00:00:00"/>
    <s v="23409-2025-0-1828-JR-CO-04"/>
    <s v="SENTENCIA O AUTO FINAL"/>
    <s v="NINGUNO"/>
    <s v="28/04/2026: Estese a lo resuelto en la Res 05.(Consentimiento de auto final)"/>
    <s v="NINGUNO"/>
    <d v="2026-06-30T00:00:00"/>
    <s v="SI"/>
    <s v="SE ENTREGA REQUERIMIENTO EN DOMICILIO"/>
    <s v="BAJO"/>
    <s v="SINVOLUNTAD DE PAGO/ SIN CAPACIDAD DE PAGO"/>
    <s v="SIN NEGOCIACIÓN"/>
  </r>
  <r>
    <x v="8"/>
    <s v="NIÑO DE GUZMAN/HUAMANI,ALEXANDER"/>
    <s v="HINOSTROZA/ILDEFONSO, DIEGO ANDREE"/>
    <s v="LORENA PRADA GONZALES"/>
    <s v="CAMPOS CUELLAR, CIRO CALLS"/>
    <s v="107051101002657514"/>
    <n v="83920.320000000007"/>
    <s v="SOLES"/>
    <d v="2025-10-13T00:00:00"/>
    <n v="51000024334"/>
    <s v="IRRECUPERABLE"/>
    <s v="S/ 91,379.69"/>
    <s v="LIMA"/>
    <s v="5° JUZGADO CIVIL-COMERCIAL DE LIMA"/>
    <x v="1"/>
    <m/>
    <m/>
    <m/>
    <x v="2"/>
    <s v="Obligación de dar suma de dinero"/>
    <d v="2025-09-30T00:00:00"/>
    <s v="23408-2025-0-1828-JR-CO-05"/>
    <s v="SENTENCIA O AUTO FINAL"/>
    <s v="NINGUNO"/>
    <s v="18/05/2026: Se ordena llevar a cabo ejecución forzada "/>
    <s v="NINGUNO"/>
    <d v="2026-06-24T00:00:00"/>
    <s v="SI"/>
    <s v="se visitó al cliente "/>
    <s v="BAJO"/>
    <s v="SINVOLUNTAD DE PAGO/ SIN CAPACIDAD DE PAGO"/>
    <s v="SIN NEGOCIACIÓN"/>
  </r>
  <r>
    <x v="8"/>
    <s v="NIÑO DE GUZMAN/HUAMANI,ALEXANDER"/>
    <s v="HINOSTROZA/ILDEFONSO, DIEGO ANDREE"/>
    <s v="LORENA PRADA GONZALES"/>
    <s v="CHIPANA CRISTOBAL VDA DE CRUZ, IRENE PELAYA"/>
    <s v="107146101001121100"/>
    <n v="37186.61"/>
    <s v="SOLES"/>
    <d v="2025-09-18T00:00:00"/>
    <s v="146000009378"/>
    <s v="RECUPERABLE"/>
    <s v="S/ 53,009.94"/>
    <s v="LIMA"/>
    <s v="3° JUZGADO DE PAZ LETRADO BARRANCO Y MIRAFLORES"/>
    <x v="0"/>
    <d v="2025-09-18T00:00:00"/>
    <s v="04395-2025-75-1866-JP-CI-03"/>
    <n v="184006"/>
    <x v="0"/>
    <m/>
    <m/>
    <m/>
    <m/>
    <s v="TOTALIDAD DE ACCIONES Y DERECHOS QUE LE CORRESPONDEN AL TITULAR CHIPANA CRISTOBAL VDA DE CRUZ, IRENE PELAYO, UBICADO EN ASOCIACION PRO VIVIENDA INCA MANCO CAPAC (1ERA ETAPA) MZ G- V LOTE 3, SAN JUAN DE LURIGANCHO,LIMA,LIMA INSCRITO EN LA PARTIDA ELECTRONICA Nº P02140504 DEL REGISTRO DE PROPIEDAD INMUEBLE"/>
    <m/>
    <s v="TOTALIDAD DEL INMUEBLE"/>
    <d v="2026-06-17T00:00:00"/>
    <s v="SI"/>
    <s v="Se envió mensaje a cliente, con un recordatorio de su convenio."/>
    <s v="MEDIO"/>
    <s v="SINVOLUNTAD DE PAGO/ SIN CAPACIDAD DE PAGO"/>
    <s v="CON NEGOCIACIÓN"/>
  </r>
  <r>
    <x v="8"/>
    <s v="NIÑO DE GUZMAN/HUAMANI,ALEXANDER"/>
    <s v="HINOSTROZA/ILDEFONSO, DIEGO ANDREE"/>
    <s v="LORENA PRADA GONZALES"/>
    <s v="COMERCIAL JE &amp; LU E.I.R.L."/>
    <s v="107146101000306655"/>
    <n v="120000"/>
    <s v="SOLES"/>
    <d v="2023-05-08T00:00:00"/>
    <s v="146000002752"/>
    <s v="IRRECUPERABLE"/>
    <s v="S/ 161,008.69"/>
    <s v="LIMA"/>
    <s v="11° JUZGADO CIVIL-COMERCIAL"/>
    <x v="0"/>
    <d v="2023-05-08T00:00:00"/>
    <s v="08915-2023-83-1817-JR-CO-11"/>
    <s v="CC: 502746"/>
    <x v="1"/>
    <s v="Obligación de dar suma de dinero"/>
    <d v="2023-08-31T00:00:00"/>
    <s v="08915-2023-0-1817-JR-CO-11"/>
    <s v="EJECUCION FORZADA"/>
    <s v="ACCIONES Y DERECHOS (50%) DE LOS AVALES RODRIGUEZ CORDOVA JEYMI Y LIVIAS ALARCON EDWIN LEONCIO. P. ELECTRONICA: 40337474. UBICACION: LOCAL 145-M MEZANINE - JIRON PLAZA MARISCAL CASTILLA N 87, CERCADO DE LIMA."/>
    <s v="17/04/2026: Se solicitó se declare consentido la Res. 5 y se inicie la ejecución forzada."/>
    <s v="ACCIONES Y DERECHOS"/>
    <d v="2026-06-17T00:00:00"/>
    <s v="SI"/>
    <s v="Se envió mensaje a cliente, con un recordatorio de su convenio."/>
    <s v="BAJO"/>
    <s v="SINVOLUNTAD DE PAGO/ SIN CAPACIDAD DE PAGO"/>
    <s v="SIN NEGOCIACIÓN"/>
  </r>
  <r>
    <x v="8"/>
    <s v="NIÑO DE GUZMAN/HUAMANI,ALEXANDER"/>
    <s v="HINOSTROZA/ILDEFONSO, DIEGO ANDREE"/>
    <s v="LORENA PRADA GONZALES"/>
    <s v="CUYA GONZALES, ANGEL EDUARDO"/>
    <s v="107146101000605085"/>
    <n v="5800.53"/>
    <s v="SOLES"/>
    <d v="2023-03-31T00:00:00"/>
    <s v="146000005112"/>
    <s v="RECUPERABLE"/>
    <s v="S/ 10,681.77"/>
    <s v="LIMA"/>
    <s v="10° JUZGADO DE PAZ LETRADO SEDE PUNO Y CARABAYA"/>
    <x v="0"/>
    <d v="2023-03-31T00:00:00"/>
    <s v="01150-2023-48-1801-JP-CI-10"/>
    <s v="CC: 256557"/>
    <x v="1"/>
    <s v="Obligación de dar suma de dinero"/>
    <d v="2024-06-12T00:00:00"/>
    <s v="01150-2023-0-1801-JP-CI-10"/>
    <s v="SENTENCIA O AUTO FINAL"/>
    <s v="TOTALIDAD DEL BIEN INMUEBLE (1 RANGO) CORRESPONDIENTE A LA SOCIEDAD CONYUGAL"/>
    <s v="17/04/2026: Se solicitó se declare consentido la Res. 2 y se inicie la ejecución forzada."/>
    <s v="TOTALIDAD DEL INMUEBLE"/>
    <d v="2026-06-24T00:00:00"/>
    <s v="SI"/>
    <s v="Se envió mensaje a cliente, con un recordatorio de su convenio."/>
    <s v="MEDIO"/>
    <s v="CON VOLUNTAD DE PAGO/ CON CAPACIDAD"/>
    <s v="CON NEGOCIACIÓN"/>
  </r>
  <r>
    <x v="8"/>
    <s v="NIÑO DE GUZMAN/HUAMANI,ALEXANDER"/>
    <s v="HINOSTROZA/ILDEFONSO, DIEGO ANDREE"/>
    <s v="LORENA PRADA GONZALES"/>
    <s v="CUYA VEGA, RUBEN"/>
    <s v="107146101000610415"/>
    <n v="4554.99"/>
    <s v="SOLES"/>
    <d v="2023-06-21T00:00:00"/>
    <s v="146000005155"/>
    <s v="RECUPERABLE"/>
    <s v="S/ 30,327.81"/>
    <s v="LIMA"/>
    <s v="10° JUZGADO DE PAZ LETRADO SEDE PUNO Y CARABAYA"/>
    <x v="0"/>
    <d v="2023-06-21T00:00:00"/>
    <s v="00972-2023-87-1801-JP-CI-10"/>
    <s v="CC: 176900"/>
    <x v="1"/>
    <s v="Obligación de dar suma de dinero"/>
    <d v="2024-06-21T00:00:00"/>
    <s v="00972-2023-0-1801-JP-CI-10"/>
    <s v="SENTENCIA O AUTO FINAL"/>
    <s v="TOTALIDAD DEL BIEN INMUEBLE (1 RANGO) CORRESPONDIENTE A LA SOCIEDAD CONYUGAL"/>
    <s v="17/04/2026: Se solicitó se declare consentido la Res. 2 y se inicie la ejecución forzada."/>
    <s v="TOTALIDAD DEL INMUEBLE"/>
    <d v="2026-06-24T00:00:00"/>
    <s v="SI"/>
    <s v="se visito al cliente"/>
    <s v="MEDIO"/>
    <s v="CON VOLUNTAD DE PAGO/ CON CAPACIDAD"/>
    <s v="CON NEGOCIACIÓN"/>
  </r>
  <r>
    <x v="8"/>
    <s v="NIÑO DE GUZMAN/HUAMANI,ALEXANDER"/>
    <s v="HINOSTROZA/ILDEFONSO, DIEGO ANDREE"/>
    <s v="LORENA PRADA GONZALES"/>
    <s v="CUYA VEGA, RUBEN"/>
    <s v="107146101000664456"/>
    <n v="15873.02"/>
    <s v="SOLES"/>
    <d v="2023-03-20T00:00:00"/>
    <s v="146000005574"/>
    <s v="RECUPERABLE"/>
    <s v="S/ 30,327.81"/>
    <s v="LIMA"/>
    <s v="10° JUZGADO DE PAZ LETRADO SEDE PUNO Y CARABAYA"/>
    <x v="0"/>
    <d v="2023-03-20T00:00:00"/>
    <s v="00972-2023-87-1801-JP-CI-10"/>
    <s v="CC: 176900"/>
    <x v="1"/>
    <s v="Obligación de dar suma de dinero"/>
    <d v="2024-06-21T00:00:00"/>
    <s v="00972-2023-0-1801-JP-CI-10"/>
    <s v="SENTENCIA O AUTO FINAL"/>
    <s v="TOTALIDAD DEL BIEN INMUEBLE (1 RANGO) CORRESPONDIENTE A LA SOCIEDAD CONYUGAL"/>
    <s v="17/04/2026: Se solicitó se declare consentido la Res. 2 y se inicie la ejecución forzada."/>
    <s v="TOTALIDAD DEL INMUEBLE"/>
    <d v="2026-06-24T00:00:00"/>
    <s v="SI"/>
    <s v="se visitó al cliente "/>
    <s v="MEDIO"/>
    <s v="CON VOLUNTAD DE PAGO/ CON CAPACIDAD"/>
    <s v="CON NEGOCIACIÓN"/>
  </r>
  <r>
    <x v="8"/>
    <s v="NIÑO DE GUZMAN/HUAMANI,ALEXANDER"/>
    <s v="HINOSTROZA/ILDEFONSO, DIEGO ANDREE"/>
    <s v="LORENA PRADA GONZALES"/>
    <s v="DURAN MOSCOSO, EMILIO"/>
    <s v="107146101000293935"/>
    <n v="29710.87"/>
    <s v="SOLES"/>
    <d v="2023-07-03T00:00:00"/>
    <s v="146000002638"/>
    <s v="IRRECUPERABLE"/>
    <s v="S/ 87,067.94"/>
    <s v="LIMA"/>
    <s v="8° JUZGADO COMERCIAL DE LIMA"/>
    <x v="1"/>
    <m/>
    <m/>
    <m/>
    <x v="2"/>
    <s v="Obligación de dar suma de dinero"/>
    <d v="2025-10-09T00:00:00"/>
    <s v="24750-2025-0-1828-JR-CO-08"/>
    <s v="ADMISION"/>
    <s v="NINGUNO"/>
    <s v="25/05/2026: Se solicita ampliación de plazo sobre requerimiento hecho por juez de miembros de sucesión intestada"/>
    <s v="NINGUNO"/>
    <d v="2026-06-30T00:00:00"/>
    <s v="SI"/>
    <s v="SE ENTREGA REQUERIMIENTO EN DOMICILIO"/>
    <s v="BAJO"/>
    <s v="SINVOLUNTAD DE PAGO/ SIN CAPACIDAD DE PAGO"/>
    <s v="SIN NEGOCIACIÓN"/>
  </r>
  <r>
    <x v="8"/>
    <s v="NIÑO DE GUZMAN/HUAMANI,ALEXANDER"/>
    <s v="HINOSTROZA/ILDEFONSO, DIEGO ANDREE"/>
    <s v="LORENA PRADA GONZALES"/>
    <s v="HUANCA GREGORIO, ANGELINA YOVANA"/>
    <s v="107146101000826096"/>
    <n v="29481.27"/>
    <s v="SOLES"/>
    <d v="2024-03-07T00:00:00"/>
    <s v="146000008534"/>
    <s v="RECUPERABLE"/>
    <s v="S/ 89,275.09"/>
    <s v="LIMA"/>
    <s v="11° JUZGADO CIVIL-COMERCIAL"/>
    <x v="0"/>
    <d v="2024-03-07T00:00:00"/>
    <s v="08632-2024-71-1828-JR-CO-11"/>
    <n v="583746"/>
    <x v="1"/>
    <s v="Obligación de dar suma de dinero"/>
    <d v="2024-11-07T00:00:00"/>
    <s v="08632-2024-0-1817-JR-CO-11"/>
    <s v="SENTENCIA O AUTO FINAL"/>
    <s v="LA TOTALIDAD DEL BIEN LE CORRESPONDE AL FIADOR REYES GREGORIO ANA MARIA, P: 49001405, UBICADO: TERRENO RUSTICO CONSTITUIDO POR PARTE DEL LT 42 DEL GRUPO K DE LA LOTIZACION DEL FUNDO SAN MIGUEL, DISTR. SAN MIGUEL"/>
    <s v="05/05/2026: Se desarchiva caso "/>
    <s v="ACCIONES Y DERECHOS"/>
    <d v="2026-06-29T00:00:00"/>
    <s v="SI"/>
    <s v="Se envió mensaje a cliente, con un recordatorio de su convenio."/>
    <s v="MEDIO"/>
    <s v="CON VOLUNTAD DE PAGO/ CON CAPACIDAD"/>
    <s v="CON NEGOCIACIÓN"/>
  </r>
  <r>
    <x v="8"/>
    <s v="NIÑO DE GUZMAN/HUAMANI,ALEXANDER"/>
    <s v="HINOSTROZA/ILDEFONSO, DIEGO ANDREE"/>
    <s v="LORENA PRADA GONZALES"/>
    <s v="HUANCA GREGORIO, ANGELINA YOVANA"/>
    <s v="107146101001026962"/>
    <n v="32092.06"/>
    <s v="SOLES"/>
    <d v="2024-03-07T00:00:00"/>
    <s v="146000008586"/>
    <s v="RECUPERABLE"/>
    <s v="S/ 89,275.09"/>
    <s v="LIMA"/>
    <s v="11° JUZGADO CIVIL-COMERCIAL"/>
    <x v="0"/>
    <d v="2024-03-07T00:00:00"/>
    <s v="08632-2024-71-1828-JR-CO-11"/>
    <n v="583746"/>
    <x v="1"/>
    <s v="Obligación de dar suma de dinero"/>
    <d v="2024-11-07T00:00:00"/>
    <s v="08632-2024-0-1817-JR-CO-11"/>
    <s v="SENTENCIA O AUTO FINAL"/>
    <s v="LA TOTALIDAD DEL BIEN LE CORRESPONDE AL FIADOR REYES GREGORIO ANA MARIA, P: 49001405, UBICADO: TERRENO RUSTICO CONSTITUIDO POR PARTE DEL LT 42 DEL GRUPO K DE LA LOTIZACION DEL FUNDO SAN MIGUEL, DISTR. SAN MIGUEL"/>
    <s v="05/05/2026: Se desarchiva caso "/>
    <s v="ACCIONES Y DERECHOS"/>
    <d v="2026-06-29T00:00:00"/>
    <s v="SI"/>
    <s v="Se envió mensaje a cliente, con un recordatorio de su convenio."/>
    <s v="BAJO"/>
    <s v="CON VOLUNTAD DE PAGO/ CON CAPACIDAD"/>
    <s v="CON NEGOCIACIÓN"/>
  </r>
  <r>
    <x v="8"/>
    <s v="NIÑO DE GUZMAN/HUAMANI,ALEXANDER"/>
    <s v="HINOSTROZA/ILDEFONSO, DIEGO ANDREE"/>
    <s v="LORENA PRADA GONZALES"/>
    <s v="QUINTANA MARIN, LUZLINDA VICTORIA"/>
    <s v="107146101001209858"/>
    <n v="35046.97"/>
    <s v="SOLES"/>
    <d v="2025-12-30T00:00:00"/>
    <s v="146000010132"/>
    <s v="RECUPERABLE"/>
    <s v="S/ 38,969.37"/>
    <s v="LIMA SUR"/>
    <s v="JUZGADO DE PAZ LETRADO CIVIL DE SJM"/>
    <x v="0"/>
    <d v="2025-12-30T00:00:00"/>
    <s v="00999-2025-50-3002-JP-CI-02"/>
    <n v="774429"/>
    <x v="0"/>
    <m/>
    <s v="-"/>
    <s v="-"/>
    <m/>
    <s v="TOTALIDAD DEL BIEN INMUEBLE QUE LE CORRESPONDEN A LOS TITULARES QUINTANA MARIN, LUZLINDA VICTORIA Y BARZOLA MISARI, ADRIAN UBICADO EN ASOCIACION PRO VIVIENDA SAN HILARION MZ. B LOTE 14 ETAPA SEGUNDA, SAN JUAN DE LURIGANCHO, LIMA, LIMA INSCRITO EN LA PARTIDA ELECTRONICA N° P02130624 DEL REGISTRO DE PROPIEDAD INMUEBLE."/>
    <m/>
    <s v="TOTALIDAD DEL INMUEBLE"/>
    <d v="2026-06-30T00:00:00"/>
    <s v="SI"/>
    <s v="SE ENTREGA REQUERIMIENTO EN DOMICILIO"/>
    <s v="MEDIO"/>
    <s v="SINVOLUNTAD DE PAGO/ SIN CAPACIDAD DE PAGO"/>
    <s v="SIN NEGOCIACIÓN"/>
  </r>
  <r>
    <x v="8"/>
    <s v="NIÑO DE GUZMAN/HUAMANI,ALEXANDER"/>
    <s v="HINOSTROZA/ILDEFONSO, DIEGO ANDREE"/>
    <s v="LORENA PRADA GONZALES"/>
    <s v="RAMIREZ MORI, VIVIANA ESTHER"/>
    <s v="107146101001074341"/>
    <n v="50756.85"/>
    <s v="SOLES"/>
    <d v="2024-11-23T00:00:00"/>
    <s v="146000008984"/>
    <s v="RECUPERABLE"/>
    <s v="S/ 55,571.75"/>
    <s v="LIMA"/>
    <s v="4°JUZGADO CIVIL-COMERCIAL DE LIMA"/>
    <x v="0"/>
    <d v="2024-11-23T00:00:00"/>
    <s v="34948-2024-79-1828-JR-CO-04"/>
    <n v="530471"/>
    <x v="1"/>
    <s v="Obligación de dar suma de dinero"/>
    <d v="2025-02-21T00:00:00"/>
    <s v="34948-2024-0-1817-JR-CO-04"/>
    <s v="SENTENCIA O AUTO FINAL"/>
    <s v="TOTALIDAD DEL INMUEBLE (1 RANGO) QUE LE CORRESPONDE AL TITULAR, UBICADO EN AA.HH PROYECTO INTEGRAL PUCUSANA MZ O LT 4 SECTOR GRANO DE ORO, PUCUSANA, LIMA, LIMA P: P03228792"/>
    <s v="17/04/2026: Se solicitó incio de la ejecución forzada y la designación de peritos."/>
    <s v="TOTALIDAD DEL INMUEBLE"/>
    <d v="2026-06-24T00:00:00"/>
    <s v="SI"/>
    <s v="se visitó al cliente "/>
    <s v="ALTO"/>
    <s v="SINVOLUNTAD DE PAGO/ SIN CAPACIDAD DE PAGO"/>
    <s v="SIN NEGOCIACIÓN"/>
  </r>
  <r>
    <x v="8"/>
    <s v="NIÑO DE GUZMAN/HUAMANI,ALEXANDER"/>
    <s v="HINOSTROZA/ILDEFONSO, DIEGO ANDREE"/>
    <s v="LORENA PRADA GONZALES"/>
    <s v="TIMOTEO RIVERA, ZARA VIDICA"/>
    <s v="107146101001188179"/>
    <n v="37001.67"/>
    <s v="SOLES"/>
    <d v="2025-08-18T00:00:00"/>
    <s v="146000009947"/>
    <s v="RECUPERABLE"/>
    <s v="S/ 39,009.41"/>
    <s v="LIMA"/>
    <s v="3° JUZGADO DE PAZ LETRADO BARRANCO Y MIRAFLORES"/>
    <x v="0"/>
    <d v="2025-08-18T00:00:00"/>
    <s v="03045-2025-40-1866-JP-CI-03"/>
    <n v="854503"/>
    <x v="1"/>
    <s v="Obligación de dar suma de dinero"/>
    <d v="2025-10-10T00:00:00"/>
    <s v="03045-2025-0-1809-JP-CI-03"/>
    <s v="SENTENCIA O AUTO FINAL"/>
    <s v="LA TOTALIDAD DEL INMUEBLE QUE LE CORRESPONDE AL TITULAR TIMOTEO RIVERA ZARA VIDICA, DEL INMUEBLE UBICADO EN ASENTAMIENTO HUMANO AMPLIACION TIWINSA MZ. 8 LOTE 3, DISTRITO PUENTE PIEDRA, PROVINCIA Y DEPARTAMENTO DE LIMA, INSCRITO EN LA PARTIDA ELECTRONICA Nº P01401487 DEL REGISTRO DE PROPIEDAD INMUEBLE DE LIMA."/>
    <s v="23.06.2026 RES 3 DECLARA CONSENTIDA LA SENTENCIA"/>
    <s v="TOTALIDAD DEL INMUEBLE"/>
    <d v="2026-06-17T00:00:00"/>
    <s v="SI"/>
    <s v="Se envió mensaje a cliente, con un recordatorio de su convenio."/>
    <s v="MEDIO"/>
    <s v="SINVOLUNTAD DE PAGO/ SIN CAPACIDAD DE PAGO"/>
    <s v="SIN NEGOCIACIÓN"/>
  </r>
  <r>
    <x v="8"/>
    <s v="NIÑO DE GUZMAN/HUAMANI,ALEXANDER"/>
    <s v="HINOSTROZA/ILDEFONSO, DIEGO ANDREE"/>
    <s v="LORENA PRADA GONZALES"/>
    <s v="MESIAS DEL AGUILA, JESSICA JACQUELINE"/>
    <s v="107146101001328181"/>
    <n v="26572.57"/>
    <s v="SOLES"/>
    <d v="2026-05-06T00:00:00"/>
    <s v="146000011163"/>
    <s v="RECUPERABLE"/>
    <n v="29241.31"/>
    <s v="LIMA"/>
    <s v="3° JUZGADO DE PAZ LETRADO (SEDE BARANCO )"/>
    <x v="0"/>
    <d v="2026-05-06T00:00:00"/>
    <s v="01599-2026-59-1866JP-CI-03"/>
    <n v="955817"/>
    <x v="0"/>
    <m/>
    <m/>
    <m/>
    <m/>
    <s v="VEHICULO PLACA C5B665 Y B2K603 "/>
    <m/>
    <s v="VEHICULO"/>
    <d v="2026-06-30T00:00:00"/>
    <s v="SI"/>
    <s v="SE DEJA REQUERIMIENTO EN INMUEBLE"/>
    <s v="MEDIO"/>
    <s v="SINVOLUNTAD DE PAGO/ SIN CAPACIDAD DE PAGO"/>
    <m/>
  </r>
  <r>
    <x v="8"/>
    <s v="NIÑO DE GUZMAN/HUAMANI,ALEXANDER"/>
    <s v="HINOSTROZA/ILDEFONSO, DIEGO ANDREE"/>
    <s v="LORENA PRADA GONZALES"/>
    <s v="MATOS SEBASTIAN, KETH DELCE"/>
    <s v="107146101001193640"/>
    <n v="19669.599999999999"/>
    <s v="SOLES"/>
    <d v="2026-02-17T00:00:00"/>
    <s v="146000009996"/>
    <s v="RECUPERABLE"/>
    <n v="22647.84"/>
    <s v="LIMA SUR "/>
    <s v="JUZGADO DE PAZ LETRADO CIVIL  DE VMT "/>
    <x v="0"/>
    <d v="2026-02-17T00:00:00"/>
    <s v="00122-2026-33-3001-JP-CI-01"/>
    <n v="17155"/>
    <x v="0"/>
    <m/>
    <m/>
    <m/>
    <m/>
    <s v="TOTALIDAD DE INMUEBLE UBICADO EN JR RUFINO TORRICO 217 CERCADO INSCRITO EN LA PARTIDA 40285156 "/>
    <m/>
    <s v="TOTALIDAD DEL INMUEBLE"/>
    <d v="2026-06-30T00:00:00"/>
    <s v="SI"/>
    <s v="SE DEJA REQUERIMIENTO EN INMUEBLE"/>
    <s v="MEDIO"/>
    <s v="SINVOLUNTAD DE PAGO/ SIN CAPACIDAD DE PAGO"/>
    <m/>
  </r>
  <r>
    <x v="8"/>
    <s v="NIÑO DE GUZMAN/HUAMANI,ALEXANDER"/>
    <s v="HINOSTROZA/ILDEFONSO, DIEGO ANDREE"/>
    <s v="LORENA PRADA GONZALES"/>
    <s v="MARICH SOLIZOR, WILDER"/>
    <s v="107146101001060930"/>
    <n v="80431.960000000006"/>
    <s v="SOLES"/>
    <d v="2026-01-29T00:00:00"/>
    <s v="146000008867"/>
    <s v="RECUPERABLE "/>
    <n v="89154.1"/>
    <s v="LIMA"/>
    <s v="11° JUZGADO CIVIL-COMERCIAL"/>
    <x v="0"/>
    <d v="2026-01-29T00:00:00"/>
    <s v="03488-2026-57-1828-JR-C0-11"/>
    <n v="30418"/>
    <x v="4"/>
    <m/>
    <m/>
    <m/>
    <m/>
    <s v="ACCIONES Y DERECHOS (0.05631565%) DEL BIEN INMUEBLE QUE LES CORRESPONDE A LOS TITULARES WILDER MARICH SOLIZOR Y BERTHA JOVANA MUÑOZ RICAPA, UBICADO EN LA QUEBRADA AL ESTE DEL ASENTAMIENTO HUMANO &quot;LA ARBOLEDA&quot;, DEL DISTRITO DE SANTA ROSA DE LA PROVINCIA Y DEPARTAMENTO DE LIMA; INSCRITO EN LA PARTIDA ELECTRÓNICA N° 13355595 DEL REGISTRO DE PROPIEDAD INMUEBLE."/>
    <m/>
    <s v="ACCIONES Y DERECHOS"/>
    <d v="2026-06-24T00:00:00"/>
    <s v="SI"/>
    <s v="se visitó al cliente "/>
    <s v="MEDIO "/>
    <s v="SINVOLUNTAD DE PAGO/ SIN CAPACIDAD DE PAGO"/>
    <s v="SIN NEGOCIACIÓN"/>
  </r>
  <r>
    <x v="8"/>
    <s v="NIÑO DE GUZMAN/HUAMANI,ALEXANDER"/>
    <s v="HINOSTROZA/ILDEFONSO, DIEGO ANDREE"/>
    <s v="LORENA PRADA GONZALES"/>
    <s v="DISTRIBUIDORA INFINITY PRODUCTS S.A.C."/>
    <s v="107146101001246362"/>
    <n v="39000"/>
    <s v="SOLES"/>
    <d v="2026-02-26T00:00:00"/>
    <s v="146000010447"/>
    <s v="RECUPERABLE "/>
    <n v="44814.64"/>
    <s v="LIMA"/>
    <s v="3° JUZGADO DE PAZ LETRADO BARRANCO Y MIRAFLORES"/>
    <x v="0"/>
    <d v="2026-02-26T00:00:00"/>
    <s v="00949-2026-44-1866-JP-CI-03"/>
    <n v="537798"/>
    <x v="0"/>
    <m/>
    <m/>
    <m/>
    <m/>
    <m/>
    <s v="12/05/2026: Se admite medida cautelar "/>
    <s v="ACCIONES Y DERECHO S"/>
    <d v="2026-06-30T00:00:00"/>
    <s v="SI"/>
    <s v="SE ENTREGA REQUERIMIENTO EN DOMICILIO"/>
    <s v="MEDIO "/>
    <s v="SINVOLUNTAD DE PAGO/ SIN CAPACIDAD DE PAGO"/>
    <s v="SIN NEGOCIACIÓN"/>
  </r>
  <r>
    <x v="8"/>
    <s v="NIÑO DE GUZMAN/HUAMANI,ALEXANDER"/>
    <s v="HINOSTROZA/ILDEFONSO, DIEGO ANDREE"/>
    <s v="LORENA PRADA GONZALES"/>
    <s v="FM FRIMARQ CONSTRUCCIONES S.A.C."/>
    <s v="107146101001159325"/>
    <n v="15378.53"/>
    <s v="SOLES"/>
    <d v="2026-03-04T00:00:00"/>
    <s v="146000009709"/>
    <s v="RECUPERABLE "/>
    <n v="26346.78"/>
    <s v="LIMA"/>
    <s v="3° JUZGADO DE PAZ LETRADO BARRANCO Y MIRAFLORES"/>
    <x v="0"/>
    <d v="2026-03-04T00:00:00"/>
    <s v="01030-2026-64-1866-JP-CI-03"/>
    <n v="273626"/>
    <x v="0"/>
    <m/>
    <m/>
    <m/>
    <m/>
    <m/>
    <s v="08/06/2026: Se admite la medida cautelar "/>
    <s v="ACCIONES Y DERECHO S"/>
    <d v="2026-06-24T00:00:00"/>
    <s v="SI"/>
    <s v="se visito al cliente "/>
    <s v="MEDIO "/>
    <s v="SINVOLUNTAD DE PAGO/ SIN CAPACIDAD DE PAGO"/>
    <s v="SIN NEGOCIACIÓN"/>
  </r>
  <r>
    <x v="9"/>
    <s v="NIÑO DE GUZMAN/HUAMANI,ALEXANDER"/>
    <s v="MOROTE/CONDORPUSA,MISHELL"/>
    <s v="LORENA PRADA GONZALES"/>
    <s v="ARBAÑIL CORTEZ, MARIELA LUPE"/>
    <s v="107038101002453222"/>
    <n v="2622.75"/>
    <s v="SOLES"/>
    <d v="2023-02-28T00:00:00"/>
    <n v="38000022389"/>
    <s v="RECUPERABLE"/>
    <s v="14,854,84"/>
    <s v="LIMA"/>
    <s v="4 JUZGADO DE PAZ LETRADO DE BARRANCO MIRAFLORES"/>
    <x v="0"/>
    <d v="2023-02-28T00:00:00"/>
    <s v="00907-2023-55-1809-JP-CI-04"/>
    <n v="790857"/>
    <x v="1"/>
    <s v="Obligación de dar suma de dinero"/>
    <d v="2024-01-10T00:00:00"/>
    <s v="00907-2023-0-1809-JP-CI-04"/>
    <s v="SENTENCIA O AUTO FINAL"/>
    <s v="TOTALIDAD DEL INMUEBLE (1 RANGO) DEL TITULAR, P:P03265561, UBICADO EN LA URB. SAN JUAN, PARCELA A MZ. D2 LT, 19 DPTO. 2, SAN JUAN DE MIRAFLORES, LIMA"/>
    <s v="27/04/2026: Se solicitó el consentimiento de auto final"/>
    <s v="TOTALIDAD DEL INMUEBLE"/>
    <d v="2026-06-30T00:00:00"/>
    <s v="SI"/>
    <s v="SE ENTREGA REQUERIMIENTO EN DOMICILIO"/>
    <s v="MEDIO"/>
    <s v="SINVOLUNTAD DE PAGO/ SIN CAPACIDAD DE PAGO"/>
    <s v="SIN NEGOCIACIÓN"/>
  </r>
  <r>
    <x v="9"/>
    <s v="NIÑO DE GUZMAN/HUAMANI,ALEXANDER"/>
    <s v="MOROTE/CONDORPUSA,MISHELL"/>
    <s v="LORENA PRADA GONZALES"/>
    <s v="CAHUI COILA, MAXIMO"/>
    <s v="107038101003090777"/>
    <n v="35460.949999999997"/>
    <s v="SOLES"/>
    <d v="2025-10-29T00:00:00"/>
    <n v="38000028263"/>
    <s v="RECUPERABLE"/>
    <s v="35, 460.95"/>
    <s v="LIMA"/>
    <s v="3° JUZGADO DE PAZ LETRADO BARRANCO Y MIRAFLORES"/>
    <x v="0"/>
    <d v="2025-10-29T00:00:00"/>
    <s v="05129-2025-77-1866-JP-CI-03"/>
    <n v="32218"/>
    <x v="1"/>
    <m/>
    <m/>
    <m/>
    <m/>
    <s v="TOTALIDAD DEL BIEN QUE LE CORRESPONDE AL TITULAR CAHUI COILA, MAXIMO, DEL BIEN INMUEBLE UBICADO EN VALLE SANTA MARIA/ YASANTAQUEN PARCELA 9_4158260 DISTRITO DE CAPACHICA, PUNO, PUNO, INSCRITO EN LA PARTIDA ELECTRÓNICA N° 11191516 DEL REGISTRO DE PROPIEDAD INMUEBLE."/>
    <s v="24/03/2026: Emsisión de la RESOLUCION N° 2"/>
    <s v="TOTALIDAD DEL INMUEBLE"/>
    <d v="2026-06-30T00:00:00"/>
    <s v="SI"/>
    <s v="SE ENTREGA REQUERIMIENTO EN DOMICILIO"/>
    <s v="MEDIO"/>
    <s v="SINVOLUNTAD DE PAGO/ SIN CAPACIDAD DE PAGO"/>
    <s v="SIN NEGOCIACIÓN"/>
  </r>
  <r>
    <x v="9"/>
    <s v="NIÑO DE GUZMAN/HUAMANI,ALEXANDER"/>
    <s v="MOROTE/CONDORPUSA,MISHELL"/>
    <s v="LORENA PRADA GONZALES"/>
    <s v="CONTROL REMOTO CENTAURO S.A.C."/>
    <s v="107038101002635377"/>
    <n v="15356.83"/>
    <s v="SOLES"/>
    <d v="2025-07-18T00:00:00"/>
    <n v="38000024080"/>
    <s v="RECUPERABLE"/>
    <s v="26,308.06"/>
    <s v="LIMA"/>
    <s v="3° JUZGADO DE PAZ LETRADO BARRANCO Y MIRAFLORES"/>
    <x v="0"/>
    <d v="2025-07-18T00:00:00"/>
    <s v="03200-2025-4-1866-JP-CI-03"/>
    <n v="378631"/>
    <x v="1"/>
    <s v="Obligación de dar suma de dinero"/>
    <d v="2025-10-10T00:00:00"/>
    <s v="03200-2025-0-1809-JP-CI-03"/>
    <s v="ADMISION"/>
    <s v="TOTALIDAD QUE LE CORRESPONDEN AL FIADOR COTRINA ALVARES DEMETRIA, DEL BIEN INMUEBLE UBICADO EN ASENTAMIENTO HUMANO 27 DE MARZO MZ A LOTE 04, INDEPENDENCIA, LIMA, LIMA. INSCRITO EN LA PARTIDA ELECTRONICA N° P01258601."/>
    <s v="21/04/2026: se emite la Res. 03."/>
    <s v="TOTALIDAD DEL INMUEBLE"/>
    <d v="2026-06-22T00:00:00"/>
    <s v="SI"/>
    <s v="se llamó y envió mensaje al cliente"/>
    <s v="MEDIO"/>
    <s v="CON VOLUNTAD DE PAGO/ SIN CAPACIDAD DE PAGO"/>
    <s v="CON NEGOCIACIÓN"/>
  </r>
  <r>
    <x v="9"/>
    <s v="NIÑO DE GUZMAN/HUAMANI,ALEXANDER"/>
    <s v="MOROTE/CONDORPUSA,MISHELL"/>
    <s v="LORENA PRADA GONZALES"/>
    <s v="FUENTES ESTRADA, JAIDI"/>
    <s v="107038101002882581"/>
    <n v="26336.49"/>
    <s v="SOLES"/>
    <d v="2025-07-31T00:00:00"/>
    <n v="38000026337"/>
    <s v="RECUPERABLE"/>
    <s v="28,087,09"/>
    <s v="LIMA"/>
    <s v="2 JUZGADO DE PAZ LETRADO BARRANCO - MIRAFLORES"/>
    <x v="0"/>
    <d v="2025-07-31T00:00:00"/>
    <s v="03201-2025-70-1866-JP-CI-02"/>
    <n v="183349"/>
    <x v="1"/>
    <s v="Obligación de dar suma de dinero"/>
    <d v="2025-09-10T00:00:00"/>
    <s v="03201-2025-0-1809-JP-CI-02"/>
    <s v="SENTENCIA O AUTO FINAL"/>
    <s v="LA TOTALIDAD QUE LE CORRESPONDEN AL TITULAR FUENTES ESTRADA, JAIDI, DEL BIEN INMUEBLE UBICADO EN ASENTAMIENTO HUMANO PROYECTO INTEGRAL “PAMPA SAN JUAN DE AMANCAES PARTE ALTA” MZ A LOTE 4 SECTOR LAS FLORES DE SAN JUAN DE AMANCAES, RIMAC, LIMA, LIMA INSCRITO EN LA PARTIDA ELECTRÓNICA N°P02191174"/>
    <s v="27/04/2026: Se solicitó el consentimiento de auto final"/>
    <s v="TOTALIDAD DEL INMUEBLE"/>
    <d v="2026-06-30T00:00:00"/>
    <s v="SI"/>
    <s v="SE ENTREGA REQUERIMIENTO EN DOMICILIO"/>
    <s v="MEDIO"/>
    <s v="SINVOLUNTAD DE PAGO/ SIN CAPACIDAD DE PAGO"/>
    <s v="SIN NEGOCIACIÓN"/>
  </r>
  <r>
    <x v="9"/>
    <s v="NIÑO DE GUZMAN/HUAMANI,ALEXANDER"/>
    <s v="MOROTE/CONDORPUSA,MISHELL"/>
    <s v="LORENA PRADA GONZALES"/>
    <s v="FUENTES ESTRADA, JAIDI"/>
    <s v="107038101003053611"/>
    <n v="27886.7"/>
    <s v="SOLES"/>
    <d v="2025-10-20T00:00:00"/>
    <n v="38000027923"/>
    <s v="RECUPERABLE"/>
    <s v="27,886.70"/>
    <s v="LIMA"/>
    <s v="3° JUZGADO DE PAZ LETRADO BARRANCO Y MIRAFLORES"/>
    <x v="0"/>
    <d v="2025-10-20T00:00:00"/>
    <s v="04981-2025-39-1866-JP-CI-03"/>
    <n v="880511"/>
    <x v="1"/>
    <s v="Obligación de dar suma de dinero"/>
    <d v="2026-04-20T00:00:00"/>
    <s v="04981-2025-0-1809-JP-CI-03"/>
    <s v="EN CALIFICACION"/>
    <s v="TOTALIDAD DEL BIEN INMUEBLE QUE LE CORRESPONDE AL TITULAR FUENTES ESTRADA, JAIDI, UBICADO EN ASENTAMIENTO HUMANO PROYECTO INTEGRAL PAMPA SAN JUAN DE AMANCAES PARTE ALTA MZ. A LOTE 4, SECTOR LAS FLORES DE SAN JUAN DE AMANCAES, RIMAC, LIMA, LIMA INSCRITO EN LA PARTIDA ELECTRONICA Nº P02191174"/>
    <s v="1 5/05/2026: Se presentó escrito original 19/05/2026: Se acompaña tasa de ofrecimiento de pruebas "/>
    <s v="TOTALIDAD DEL INMUEBLE"/>
    <d v="2026-06-30T00:00:00"/>
    <s v="SI"/>
    <s v="SE ENTREGA REQUERIMIENTO EN DOMICILIO"/>
    <s v="MEDIO"/>
    <s v="SINVOLUNTAD DE PAGO/ SIN CAPACIDAD DE PAGO"/>
    <s v="SIN NEGOCIACIÓN"/>
  </r>
  <r>
    <x v="9"/>
    <s v="NIÑO DE GUZMAN/HUAMANI,ALEXANDER"/>
    <s v="MOROTE/CONDORPUSA,MISHELL"/>
    <s v="LORENA PRADA GONZALES"/>
    <s v="GARCIA ALCANTARA, ROBER"/>
    <s v="107214101000231187"/>
    <n v="29770.44"/>
    <s v="SOLES"/>
    <d v="2025-04-28T00:00:00"/>
    <s v="214000002058"/>
    <s v="RECUPERABLE"/>
    <s v="31,338.90"/>
    <s v="LIMA"/>
    <s v="3° JUZGADO DE PAZ LETRADO BARRANCO Y MIRAFLORES"/>
    <x v="0"/>
    <d v="2025-04-28T00:00:00"/>
    <s v="01515-2025-92-1866-JP-CI-03"/>
    <n v="245667"/>
    <x v="1"/>
    <s v="Obligación de dar suma de dinero"/>
    <d v="2025-11-11T00:00:00"/>
    <s v="01515-2025-0-1809-JP-CI-03"/>
    <s v="ADMISION"/>
    <s v="LA TOTALIDAD DEL BIEN QUE LE CORRESPONDE A LA SOCIEDAD CONYUGAL CONFORMADA POR GARCIA ANTONIO RUBEN Y ALCANTARA JIMENEZ SENOVIA, BIEN INMUEBLE UBICADO EN CIUDAD NUEVA MOROCOCHA MZ. R-1 LOTE 1, DISTRITO DE MOROCOCHA, PROVINCIA DE YAULI, DEPARTAMENTO DE JUNIN, INSCRITO EN LA PARTIDA ELECTRONICA N°P41009997 DEL RESGISTRO DE PROPIEDAD INMUEBLE SEDE HUANCAYO."/>
    <s v="08/05/2026 :  Res03 : Se solicita subsanar  "/>
    <s v="TOTALIDAD DEL INMUEBLE"/>
    <d v="2026-06-30T00:00:00"/>
    <s v="SI"/>
    <s v="SE ENTREGA REQUERIMIENTO EN DOMICILIO"/>
    <s v="MEDIO"/>
    <s v="SINVOLUNTAD DE PAGO/ SIN CAPACIDAD DE PAGO"/>
    <s v="SIN NEGOCIACIÓN"/>
  </r>
  <r>
    <x v="9"/>
    <s v="NIÑO DE GUZMAN/HUAMANI,ALEXANDER"/>
    <s v="MOROTE/CONDORPUSA,MISHELL"/>
    <s v="LORENA PRADA GONZALES"/>
    <s v="GUEVARA VILLALOBOS, JHON LENNIN"/>
    <s v="107214101000113908"/>
    <n v="24244.55"/>
    <s v="SOLES"/>
    <d v="2025-09-27T00:00:00"/>
    <s v="214000001022"/>
    <s v="IRRECUPERABLE"/>
    <s v="28,457.25"/>
    <s v="LIMA"/>
    <s v="3 JUZGADO DE PAZ LETRADO LINCE SAN ISIDRO"/>
    <x v="1"/>
    <m/>
    <m/>
    <m/>
    <x v="2"/>
    <s v="Obligación de dar suma de dinero"/>
    <d v="2025-09-26T00:00:00"/>
    <s v="01596-2025-0-1820-JP-CI-03"/>
    <s v="SENTENCIA O AUTO FINAL"/>
    <s v="NINGUNO"/>
    <s v="27/04/2026: ESCRITO SOLICITANDO SE EMITA CONSENTIMIENTO DE AUTO FINAL."/>
    <s v="NINGUNO"/>
    <d v="2026-06-30T00:00:00"/>
    <s v="SI"/>
    <s v="SE ENTREGA REQUERIMIENTO EN DOMICILIO"/>
    <s v="BAJO"/>
    <s v="SINVOLUNTAD DE PAGO/ SIN CAPACIDAD DE PAGO"/>
    <s v="SIN NEGOCIACIÓN"/>
  </r>
  <r>
    <x v="9"/>
    <s v="NIÑO DE GUZMAN/HUAMANI,ALEXANDER"/>
    <s v="MOROTE/CONDORPUSA,MISHELL"/>
    <s v="LORENA PRADA GONZALES"/>
    <s v="INCA ZAMORA, GLADYS GABRIELA"/>
    <s v="107038101002664745"/>
    <n v="15225.07"/>
    <s v="SOLES"/>
    <d v="2025-07-22T00:00:00"/>
    <n v="38000024339"/>
    <s v="RECUPERABLE"/>
    <s v="26,355.43"/>
    <s v="LIMA"/>
    <s v="3° JUZGADO DE PAZ LETRADO BARRANCO Y MIRAFLORES"/>
    <x v="0"/>
    <d v="2025-07-22T00:00:00"/>
    <s v="03025-2025-78-1866-JP-CI-03"/>
    <n v="21195"/>
    <x v="0"/>
    <m/>
    <m/>
    <m/>
    <m/>
    <s v="LAS ACCIONES Y DERECHOS QUE LE CORRESPONDEN AL FIADOR ZAMORA SANTOS, GLADYS, DEL BIEN INMUEBLE UBICADO EN ASENTAMIENTO HUMANO PROYECTO INTEGRAL SIMON BOLIVAR MZ. M LOTE 18 SECTOR INDOAMERCIA, CHORRILLOS,LIMA LIMA INSCRITO EN LA PARTIDA ELECTRONICA Nº P03199344 DEL REGISTRO DE PROPIEDAD INMUEBLE."/>
    <s v="17/04/2026. SE SOLICITÓ SUBSANAR OBSERVACIONES DE LA ANOTACIÓN DE EMBARGO."/>
    <s v="ACCIONES Y DERECHOS"/>
    <d v="2026-06-22T00:00:00"/>
    <s v="SI"/>
    <s v="se llamó y envió mensaje al cliente"/>
    <s v="MEDIO"/>
    <s v="CON VOLUNTAD DE PAGO/ SIN CAPACIDAD DE PAGO"/>
    <s v="CON NEGOCIACIÓN"/>
  </r>
  <r>
    <x v="9"/>
    <s v="NIÑO DE GUZMAN/HUAMANI,ALEXANDER"/>
    <s v="MOROTE/CONDORPUSA,MISHELL"/>
    <s v="LORENA PRADA GONZALES"/>
    <s v="INGA PEREZ, UBERTA TEOFILA"/>
    <s v="107146101000045093"/>
    <n v="129304.48"/>
    <s v="SOLES"/>
    <d v="2024-11-23T00:00:00"/>
    <s v="TESTIMONIO"/>
    <s v="RECUPERABLE"/>
    <s v="201,030,05"/>
    <s v="LIMA"/>
    <s v="3°JUZGADO CIVIL-COMERCIAL DE LIMA"/>
    <x v="1"/>
    <m/>
    <m/>
    <m/>
    <x v="2"/>
    <s v="Ejecución de garantía"/>
    <d v="2023-05-05T00:00:00"/>
    <s v="09064-2023-0-1817-JR-CO-03"/>
    <s v="SENTENCIA O AUTO FINAL"/>
    <s v="AV. SUCRE 365, DEPARTAMENTO 403 (CUARTO PISO) DISTRITO DE MAGDALENA DEL MAR, PROVINCIA Y DEPARTAMENTO DE LIMA, INSCRITO EN LA PARTIDA ELECTRONICA 11693002 Registro de Propiedad Inmueble de Lima, hipotecado a nuestro favor por la suma ascendente a S/. 304,339.04 SOLES"/>
    <s v="05/02/2026: APERSONAMIENTO"/>
    <s v="TOTALIDAD DEL INMUEBLE"/>
    <d v="2026-06-24T00:00:00"/>
    <s v="SI"/>
    <s v="se visitó al cliente "/>
    <s v="ALTO"/>
    <s v="CON VOLUNTAD DE PAGO/ SIN CAPACIDAD DE PAGO"/>
    <s v="CON NEGOCIACIÓN"/>
  </r>
  <r>
    <x v="9"/>
    <s v="NIÑO DE GUZMAN/HUAMANI,ALEXANDER"/>
    <s v="MOROTE/CONDORPUSA,MISHELL"/>
    <s v="LORENA PRADA GONZALES"/>
    <s v="OSCCO OSCCO, GISELA SUSANA"/>
    <s v="107038101002140116"/>
    <n v="8744.39"/>
    <s v="SOLES"/>
    <d v="2024-09-30T00:00:00"/>
    <n v="38000019497"/>
    <s v="IRRECUPERABLE"/>
    <s v="12,538,14"/>
    <s v="LIMA SUR"/>
    <s v="JUZGADO DE PAZ LETRADO CIVL DE SAN JUAN DE MIRAFLORES"/>
    <x v="1"/>
    <m/>
    <m/>
    <m/>
    <x v="2"/>
    <s v="Obligación de dar suma de dinero"/>
    <d v="2024-10-04T00:00:00"/>
    <s v="00910-2024-0-3002-JP-CI-02"/>
    <s v="SENTENCIA O AUTO FINAL"/>
    <s v="NINGUNO"/>
    <s v="27/04/2026:SE SOLICITÓ CONSENTIMIENTO DE AUTO FINAL"/>
    <s v="NINGUNO"/>
    <d v="2026-06-30T00:00:00"/>
    <s v="SI"/>
    <s v="SE ENTREGA REQUERIMIENTO EN DOMICILIO"/>
    <s v="BAJO"/>
    <s v="SINVOLUNTAD DE PAGO/ SIN CAPACIDAD DE PAGO"/>
    <s v="SIN NEGOCIACIÓN"/>
  </r>
  <r>
    <x v="10"/>
    <s v="NIÑO DE GUZMAN/HUAMANI,ALEXANDER"/>
    <s v="MOROTE/CONDORPUSA,MISHELL"/>
    <s v="LORENA PRADA GONZALES"/>
    <s v="ALLCCACO UCHARIMA, DIONISIO"/>
    <s v="107146101000765519"/>
    <n v="46326.98"/>
    <s v="SOLES"/>
    <d v="2025-08-27T00:00:00"/>
    <s v="146000006324"/>
    <s v="RECUPERABLE"/>
    <s v="49,747.82"/>
    <s v="LIMA"/>
    <s v="2 JUZGADO DE PAZ LETRADO BARRANCO - MIRAFLORES"/>
    <x v="0"/>
    <d v="2025-08-27T00:00:00"/>
    <s v="03796-2025-74-1866-JP-CI-02"/>
    <n v="653589"/>
    <x v="1"/>
    <s v="Obligación de dar suma de dinero"/>
    <d v="2025-09-23T00:00:00"/>
    <s v="03796-2025-0-1809-JP-CI-02"/>
    <s v="ADMISION"/>
    <s v="TOTALIDAD DEL BIEN QUE LE CORRESPONDEN AL FIADOR HUAMAN AGURTO CLARIZA, DEL BIEN INMUEBLE UBICADO EN PUEBLO JOVEN BARRIO MARGINAL SANTA ROSA MZ. 3 LOTE 5, COMAS, LIMA, LIMA INSCRITO EN LA PARTIDA ELECTRONICA Nº P01062025 DEL REGISTRO DE PROPIEDAD INMUEBLE."/>
    <s v="27/04/26 : Res03: Se realizan observaciones "/>
    <s v="TOTALIDAD DEL INMUEBLE"/>
    <d v="2026-06-17T00:00:00"/>
    <s v="SI"/>
    <s v="Se envió mensaje a cliente, con un recordatorio de su convenio."/>
    <s v="MEDIO"/>
    <s v="SINVOLUNTAD DE PAGO/ SIN CAPACIDAD DE PAGO"/>
    <s v="SIN NEGOCIACIÓN"/>
  </r>
  <r>
    <x v="10"/>
    <s v="NIÑO DE GUZMAN/HUAMANI,ALEXANDER"/>
    <s v="MOROTE/CONDORPUSA,MISHELL"/>
    <s v="LORENA PRADA GONZALES"/>
    <s v="CALDERON MOLINA, RAUL ANTHONY"/>
    <s v="107205101000205158"/>
    <n v="25963.88"/>
    <s v="SOLES"/>
    <d v="2025-08-15T00:00:00"/>
    <s v="205000001864"/>
    <s v="RECUPERABLE"/>
    <s v="29,038.97"/>
    <s v="LIMA"/>
    <s v="3° JUZGADO DE PAZ LETRADO BARRANCO Y MIRAFLORES"/>
    <x v="0"/>
    <d v="2025-08-15T00:00:00"/>
    <s v="03309-2025-17-1866-JP-CI-03"/>
    <n v="779810"/>
    <x v="0"/>
    <m/>
    <m/>
    <m/>
    <m/>
    <s v="RETENCION DE CUENTAS hasta por la suma de 5/ 29,038.97 (VEINTINUEVE MIL TREINTA Y OCHO CON 97/100 SOLES) SOBRE LAS CUENTAS QUE LE CORRESPONDEN A: CALDERON MOLINA, RAUL ANTHONY Y MOLINA MANZANILLA CARMEN ROSA."/>
    <s v="24/04/2026 : Res 04:Admisión de  medida cautelar ( todavia no ha sido notificado formalmente)"/>
    <s v="TOTALIDAD DEL INMUEBLE"/>
    <d v="2026-06-17T00:00:00"/>
    <s v="SI"/>
    <s v="Se envió mensaje a cliente, con un recordatorio de su convenio."/>
    <s v="MEDIO"/>
    <s v="SINVOLUNTAD DE PAGO/ SIN CAPACIDAD DE PAGO"/>
    <s v="SIN NEGOCIACIÓN"/>
  </r>
  <r>
    <x v="10"/>
    <s v="NIÑO DE GUZMAN/HUAMANI,ALEXANDER"/>
    <s v="MOROTE/CONDORPUSA,MISHELL"/>
    <s v="LORENA PRADA GONZALES"/>
    <s v="GANOZA LAZARTE, VICTOR PAUL"/>
    <s v="107205101000218592"/>
    <n v="49868.44"/>
    <s v="SOLES"/>
    <d v="2025-07-17T00:00:00"/>
    <s v="205000001993"/>
    <s v="RECUPERABLE"/>
    <s v="67,782.78"/>
    <s v="LIMA"/>
    <s v="16°JUZGADO CIVIL-COMERCIAL DE LIMA"/>
    <x v="0"/>
    <d v="2025-07-17T00:00:00"/>
    <s v="15089-2025-92-1828-JR-CO-16"/>
    <n v="312382"/>
    <x v="1"/>
    <s v="Obligación de dar suma de dinero"/>
    <d v="2026-01-23T00:00:00"/>
    <s v="15089-2025-0-1817-JR-CO-16"/>
    <s v="ADMISION"/>
    <s v="TOTALIDAD QUE LE CORRESPONDEN AL FIADOR COBA BEDIA JESUS EMILIA, DEL BIEN INMUEBLE UBICADO EN ASENTAMIENTO HUMANO MUNICIPAL CHILLON MZ 35 LOTE 4, LOS OLIVOS, LIMA, LIMA. INSCRITO EN LA PARTIDA ELECTRÓNICA N°P01087386"/>
    <s v="26/01/ 2026 RES. 01:  Admitida la demanda "/>
    <s v="TOTALIDAD DEL INMUEBLE"/>
    <d v="2026-06-17T00:00:00"/>
    <s v="SI"/>
    <s v="Se envió mensaje a cliente, con un recordatorio de su convenio."/>
    <s v="MEDIO"/>
    <s v="SINVOLUNTAD DE PAGO/ SIN CAPACIDAD DE PAGO"/>
    <s v="SIN NEGOCIACIÓN"/>
  </r>
  <r>
    <x v="10"/>
    <s v="NIÑO DE GUZMAN/HUAMANI,ALEXANDER"/>
    <s v="MOROTE/CONDORPUSA,MISHELL"/>
    <s v="LORENA PRADA GONZALES"/>
    <s v="HUAROTO LOZANO, BERNABE ISMAEL"/>
    <s v="107146101000787888"/>
    <n v="8938.6"/>
    <s v="SOLES"/>
    <d v="2024-03-21T00:00:00"/>
    <s v="146000006500"/>
    <s v="RECUPERABLE"/>
    <s v="9,921.56"/>
    <s v="LIMA"/>
    <s v="3 JUZGADO DE PAZ LETRADO LINCE SAN ISIDRO"/>
    <x v="0"/>
    <d v="2024-03-21T00:00:00"/>
    <s v="00521-2024-93-1820-JP-CI-04"/>
    <m/>
    <x v="1"/>
    <s v="Obligación de dar suma de dinero"/>
    <d v="2024-09-30T00:00:00"/>
    <s v="00521-2024-0-1802-JP-CI-03"/>
    <s v="SENTENCIA O AUTO FINAL"/>
    <s v="LA TOTALIDAD DEL BIEN DEL FIADOR HUANCA GREGORIO ANGELINA YOVANA, P:70064486, UBICADO: CALLE 9, MZ. E-1, LT. 5 URB LOS PILARES, CALLAO"/>
    <s v="20/04/2026:Res 08: Se tenga en cuenta apersonamientos "/>
    <s v="TOTALIDAD DEL INMUEBLE"/>
    <d v="2026-06-17T00:00:00"/>
    <s v="SI"/>
    <s v="Se envió mensaje a cliente, con un recordatorio de su convenio."/>
    <s v="ALTO"/>
    <s v="SINVOLUNTAD DE PAGO/ SIN CAPACIDAD DE PAGO"/>
    <s v="SIN NEGOCIACIÓN"/>
  </r>
  <r>
    <x v="10"/>
    <s v="NIÑO DE GUZMAN/HUAMANI,ALEXANDER"/>
    <s v="MOROTE/CONDORPUSA,MISHELL"/>
    <s v="LORENA PRADA GONZALES"/>
    <s v="HUAROTO LOZANO, BERNABE ISMAEL"/>
    <s v="107146101000894346"/>
    <n v="16066.27"/>
    <s v="SOLES"/>
    <d v="2024-03-21T00:00:00"/>
    <s v="146000007409"/>
    <s v="RECUPERABLE"/>
    <s v="17,764.46"/>
    <s v="LIMA"/>
    <s v="3 JUZGADO DE PAZ LETRADO LINCE SAN ISIDRO"/>
    <x v="0"/>
    <d v="2024-03-21T00:00:00"/>
    <s v="00521-2024-93-1820-JP-CI-03"/>
    <m/>
    <x v="1"/>
    <s v="Obligación de dar suma de dinero"/>
    <d v="2024-09-30T00:00:00"/>
    <s v="00521-2024-0-1802-JP-CI-03"/>
    <s v="SENTENCIA O AUTO FINAL"/>
    <s v="LA TOTALIDAD DEL BIEN DEL FIADOR HUANCA GREGORIO ANGELINA YOVANA, P:70064486, UBICADO: CALLE 9, MZ. E-1, LT. 5 URB LOS PILARES, CALLAO"/>
    <s v="20/04/2026:Res 08: Se tenga en cuenta apersonamientos "/>
    <s v="TOTALIDAD DEL INMUEBLE"/>
    <d v="2026-06-17T00:00:00"/>
    <s v="SI"/>
    <s v="Se envió mensaje a cliente, con un recordatorio de su convenio."/>
    <s v="ALTO"/>
    <s v="SINVOLUNTAD DE PAGO/ SIN CAPACIDAD DE PAGO"/>
    <s v="SIN NEGOCIACIÓN"/>
  </r>
  <r>
    <x v="10"/>
    <s v="NIÑO DE GUZMAN/HUAMANI,ALEXANDER"/>
    <s v="MOROTE/CONDORPUSA,MISHELL"/>
    <s v="LORENA PRADA GONZALES"/>
    <s v="LOPEZ CHINCHAY, SANTOS RENATO"/>
    <s v="107205101000217345"/>
    <n v="36233.89"/>
    <s v="SOLES"/>
    <d v="2025-12-22T00:00:00"/>
    <s v="205000001981"/>
    <s v="RECUPERABLE"/>
    <s v="40,125.31"/>
    <s v="LIMA SUR"/>
    <s v="JUZGADO DE PAZ LETRADO CIVIL DE SJM"/>
    <x v="0"/>
    <d v="2025-12-22T00:00:00"/>
    <s v="00986-2025-46-3002-JP-CI-02"/>
    <n v="97546"/>
    <x v="4"/>
    <m/>
    <m/>
    <m/>
    <m/>
    <s v="TOTALIDAD DEL BIEN INMUEBLE QUE LE CORRESPONDE AL TITULAR VASQUEZ GARCIA, MARITZA BERENICE, UBICADO EN URBANIZACION VALDIVIEZO MZ J1 SUB LOTE 26B, SAN MARTIN DE PORRES, LIMA, LIMA.  "/>
    <s v="21/01/ 2026:  Res01: Juzgado se decalra incompetente "/>
    <s v="TOTALIDAD DEL INMUEBLE"/>
    <d v="2026-06-17T00:00:00"/>
    <s v="SI"/>
    <s v="Se envió mensaje a cliente, con un recordatorio de su convenio."/>
    <s v="MEDIO"/>
    <s v="SINVOLUNTAD DE PAGO/ SIN CAPACIDAD DE PAGO"/>
    <s v="SIN NEGOCIACIÓN"/>
  </r>
  <r>
    <x v="10"/>
    <s v="NIÑO DE GUZMAN/HUAMANI,ALEXANDER"/>
    <s v="HINOSTROZA/ILDEFONSO, DIEGO ANDREE"/>
    <s v="LORENA PRADA GONZALES"/>
    <s v="MARCA SALGADO, ARTURO REYNALDO"/>
    <s v="107205101000112943"/>
    <n v="53126.09"/>
    <s v="SOLES"/>
    <d v="2026-05-20T00:00:00"/>
    <s v="205000001003"/>
    <s v="RECUPERABLE"/>
    <n v="53126.09"/>
    <s v="LIMA"/>
    <s v="3° JUZGADO DE PAZ LETRADO (SEDE BARRANCO)"/>
    <x v="0"/>
    <d v="2026-05-20T00:00:00"/>
    <s v="01792-2026-52-1866-JP-CI-03"/>
    <n v="752348"/>
    <x v="0"/>
    <m/>
    <m/>
    <m/>
    <m/>
    <s v="TOTALIDAD DEL INMUEBLE UBICADO EN PROGRAMA DE VIVIENDA SAN FERNANDO DE CARABAYLLO MZ C LOTE 07 INSCRITO EN LA PE P01398507"/>
    <m/>
    <s v="TOTALIDAD DEL INMUEBLE"/>
    <d v="2026-06-30T00:00:00"/>
    <s v="SI"/>
    <s v="SE DEJA REQUERIMIENTO EN INMUEBLE"/>
    <s v="MEDIO"/>
    <s v="SINVOLUNTAD DE PAGO/ SIN CAPACIDAD DE PAGO"/>
    <m/>
  </r>
  <r>
    <x v="10"/>
    <s v="NIÑO DE GUZMAN/HUAMANI,ALEXANDER"/>
    <s v="HINOSTROZA/ILDEFONSO, DIEGO ANDREE"/>
    <s v="LORENA PRADA GONZALES"/>
    <s v="VANI. ODIOSAS S.A.C."/>
    <s v="107205101000230691"/>
    <n v="33875.61"/>
    <s v="SOLES"/>
    <d v="2026-05-06T00:00:00"/>
    <s v="205000002122"/>
    <s v="RECUPERABLE"/>
    <s v="38 642.50"/>
    <s v="LIMA "/>
    <s v="3° JUZGADO DE PAZ LETRADO (SEDE BARRANCO)"/>
    <x v="0"/>
    <d v="2026-05-06T00:00:00"/>
    <s v="01593-2026-55-1866-JP-CI-03"/>
    <n v="686641"/>
    <x v="4"/>
    <m/>
    <m/>
    <m/>
    <m/>
    <s v="TOTALIDAD DEL INMUEBLE UBICADO EN PROGRAMA DE VIVIENDA SAN FERNANDO DE CARABAYLLO MZ C LOTE 07 INSCRITO EN LA PE P01398507"/>
    <m/>
    <s v="TOTALIDAD DEL INMUEBLE"/>
    <d v="2026-06-30T00:00:00"/>
    <s v="SI"/>
    <s v="SE DEJA REQUERIMIENTO EN INMUEBLE"/>
    <s v="MEDIO"/>
    <s v="SINVOLUNTAD DE PAGO/ SIN CAPACIDAD DE PAGO"/>
    <m/>
  </r>
  <r>
    <x v="10"/>
    <s v="NIÑO DE GUZMAN/HUAMANI,ALEXANDER"/>
    <s v="MOROTE/CONDORPUSA,MISHELL"/>
    <s v="LORENA PRADA GONZALES"/>
    <s v="TAQUIRE RODRIGUEZ, ROSA MAXIMINA ESPERANZA"/>
    <s v="107205101000165050"/>
    <n v="75500"/>
    <s v="SOLES"/>
    <d v="2025-09-30T00:00:00"/>
    <s v="TESTIMONIO"/>
    <s v="RECUPERABLE"/>
    <s v="10,527.31"/>
    <s v="LIMA"/>
    <s v="16°JUZGADO CIVIL-COMERCIAL DE LIMA"/>
    <x v="1"/>
    <m/>
    <m/>
    <m/>
    <x v="2"/>
    <s v="Ejecución de garantía"/>
    <d v="2025-09-30T00:00:00"/>
    <s v="28475-2025-0-1828-JR-CO-08"/>
    <s v="EN CALIFICACION"/>
    <s v="PUEBLO JOVEN VILLA EL SALVADOR, MZ I LOTE 16, SECTOR NOVENO, GRUPO RESIDENCIAL 2, VILLA EL SALVADOR, LIMA cuyo dominio corre inscrito en la partida electrónica N° P03150970 del Registro de Propiedad Inmueble de Lima, hipotecado a nuestro favor por la suma ascendente a S/. 120,000.00 (CIENTO VEINTE MIL CON 00/100 SOLES)"/>
    <s v="05/02/2026:  Se adjuntan tasas                     27/01/2026: SE ADJUNTO TESTIMONIO HIPOTECARIO"/>
    <s v="TOTALIDAD DEL INMUEBLE"/>
    <d v="2026-06-17T00:00:00"/>
    <s v="SI"/>
    <s v="Se envió mensaje a cliente, con un recordatorio de su convenio."/>
    <s v="ALTO"/>
    <s v="SINVOLUNTAD DE PAGO/ SIN CAPACIDAD DE PAGO"/>
    <s v="SIN NEGOCIACIÓ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B09CC8-4042-4E79-9240-EF7ED94BEDC6}" name="TablaDinámica5"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B14" firstHeaderRow="1" firstDataRow="1" firstDataCol="1" rowPageCount="1" colPageCount="1"/>
  <pivotFields count="32">
    <pivotField axis="axisRow" showAll="0" sortType="descending">
      <items count="12">
        <item x="0"/>
        <item x="9"/>
        <item x="1"/>
        <item x="8"/>
        <item x="2"/>
        <item x="3"/>
        <item x="4"/>
        <item x="10"/>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items count="4">
        <item x="0"/>
        <item x="2"/>
        <item x="1"/>
        <item t="default"/>
      </items>
    </pivotField>
    <pivotField showAll="0"/>
    <pivotField showAll="0"/>
    <pivotField showAll="0"/>
    <pivotField axis="axisPage" multipleItemSelectionAllowed="1" showAll="0">
      <items count="6">
        <item x="1"/>
        <item h="1" x="3"/>
        <item h="1" x="0"/>
        <item h="1"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4"/>
    </i>
    <i>
      <x v="8"/>
    </i>
    <i>
      <x v="5"/>
    </i>
    <i>
      <x v="9"/>
    </i>
    <i>
      <x/>
    </i>
    <i>
      <x v="6"/>
    </i>
    <i>
      <x v="2"/>
    </i>
    <i>
      <x v="3"/>
    </i>
    <i>
      <x v="1"/>
    </i>
    <i>
      <x v="7"/>
    </i>
    <i t="grand">
      <x/>
    </i>
  </rowItems>
  <colItems count="1">
    <i/>
  </colItems>
  <pageFields count="1">
    <pageField fld="18" hier="-1"/>
  </pageFields>
  <dataFields count="1">
    <dataField name="Cuenta de EMBARGO EN FORMA DE INSCRIPCIO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0267-55B3-4DA3-BE9B-ED2411EC18E3}">
  <dimension ref="A1:B14"/>
  <sheetViews>
    <sheetView workbookViewId="0">
      <selection activeCell="B11" sqref="B11"/>
    </sheetView>
  </sheetViews>
  <sheetFormatPr baseColWidth="10" defaultRowHeight="15" x14ac:dyDescent="0.25"/>
  <cols>
    <col min="1" max="1" width="36.42578125" bestFit="1" customWidth="1"/>
    <col min="2" max="2" width="45.28515625" bestFit="1" customWidth="1"/>
    <col min="3" max="3" width="11.140625" bestFit="1" customWidth="1"/>
    <col min="4" max="4" width="12.5703125" bestFit="1" customWidth="1"/>
    <col min="5" max="5" width="13" bestFit="1" customWidth="1"/>
    <col min="6" max="6" width="11" bestFit="1" customWidth="1"/>
    <col min="7" max="7" width="12.5703125" bestFit="1" customWidth="1"/>
  </cols>
  <sheetData>
    <row r="1" spans="1:2" x14ac:dyDescent="0.25">
      <c r="A1" s="72" t="s">
        <v>49</v>
      </c>
      <c r="B1" t="s">
        <v>49</v>
      </c>
    </row>
    <row r="3" spans="1:2" x14ac:dyDescent="0.25">
      <c r="A3" s="72" t="s">
        <v>2550</v>
      </c>
      <c r="B3" t="s">
        <v>2552</v>
      </c>
    </row>
    <row r="4" spans="1:2" x14ac:dyDescent="0.25">
      <c r="A4" s="73" t="s">
        <v>369</v>
      </c>
      <c r="B4" s="74">
        <v>33</v>
      </c>
    </row>
    <row r="5" spans="1:2" x14ac:dyDescent="0.25">
      <c r="A5" s="73" t="s">
        <v>1252</v>
      </c>
      <c r="B5" s="74">
        <v>26</v>
      </c>
    </row>
    <row r="6" spans="1:2" x14ac:dyDescent="0.25">
      <c r="A6" s="73" t="s">
        <v>839</v>
      </c>
      <c r="B6" s="74">
        <v>23</v>
      </c>
    </row>
    <row r="7" spans="1:2" x14ac:dyDescent="0.25">
      <c r="A7" s="73" t="s">
        <v>1460</v>
      </c>
      <c r="B7" s="74">
        <v>19</v>
      </c>
    </row>
    <row r="8" spans="1:2" x14ac:dyDescent="0.25">
      <c r="A8" s="73" t="s">
        <v>36</v>
      </c>
      <c r="B8" s="74">
        <v>16</v>
      </c>
    </row>
    <row r="9" spans="1:2" x14ac:dyDescent="0.25">
      <c r="A9" s="73" t="s">
        <v>1052</v>
      </c>
      <c r="B9" s="74">
        <v>16</v>
      </c>
    </row>
    <row r="10" spans="1:2" x14ac:dyDescent="0.25">
      <c r="A10" s="73" t="s">
        <v>196</v>
      </c>
      <c r="B10" s="74">
        <v>15</v>
      </c>
    </row>
    <row r="11" spans="1:2" x14ac:dyDescent="0.25">
      <c r="A11" s="73" t="s">
        <v>2024</v>
      </c>
      <c r="B11" s="74">
        <v>8</v>
      </c>
    </row>
    <row r="12" spans="1:2" x14ac:dyDescent="0.25">
      <c r="A12" s="73" t="s">
        <v>2149</v>
      </c>
      <c r="B12" s="74">
        <v>6</v>
      </c>
    </row>
    <row r="13" spans="1:2" x14ac:dyDescent="0.25">
      <c r="A13" s="73" t="s">
        <v>2214</v>
      </c>
      <c r="B13" s="74">
        <v>4</v>
      </c>
    </row>
    <row r="14" spans="1:2" x14ac:dyDescent="0.25">
      <c r="A14" s="73" t="s">
        <v>2551</v>
      </c>
      <c r="B14" s="74">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E65F-419A-4D5B-8A9B-7953266F44FE}">
  <dimension ref="A1:AH340"/>
  <sheetViews>
    <sheetView tabSelected="1" topLeftCell="F321" zoomScale="110" zoomScaleNormal="110" workbookViewId="0">
      <selection activeCell="A2" sqref="A2:AF338"/>
    </sheetView>
  </sheetViews>
  <sheetFormatPr baseColWidth="10" defaultColWidth="11.5703125" defaultRowHeight="11.25" x14ac:dyDescent="0.2"/>
  <cols>
    <col min="1" max="1" width="15.28515625" style="16" customWidth="1"/>
    <col min="2" max="4" width="11.5703125" style="16"/>
    <col min="5" max="5" width="22.85546875" style="16" customWidth="1"/>
    <col min="6" max="6" width="19.28515625" style="20" customWidth="1"/>
    <col min="7" max="8" width="11.5703125" style="16"/>
    <col min="9" max="9" width="11.5703125" style="18"/>
    <col min="10" max="15" width="11.5703125" style="16"/>
    <col min="16" max="16" width="11.5703125" style="18"/>
    <col min="17" max="21" width="11.5703125" style="16"/>
    <col min="22" max="22" width="27" style="16" customWidth="1"/>
    <col min="23" max="24" width="11.5703125" style="16"/>
    <col min="25" max="25" width="33.140625" style="16" customWidth="1"/>
    <col min="26" max="31" width="11.5703125" style="16"/>
    <col min="32" max="32" width="17.85546875" style="16" customWidth="1"/>
    <col min="33" max="16384" width="11.5703125" style="16"/>
  </cols>
  <sheetData>
    <row r="1" spans="1:34" ht="9.6" customHeight="1" x14ac:dyDescent="0.2">
      <c r="A1" s="2"/>
      <c r="B1" s="3"/>
      <c r="C1" s="3"/>
      <c r="D1" s="3"/>
      <c r="E1" s="3"/>
      <c r="F1" s="4"/>
      <c r="G1" s="3"/>
      <c r="H1" s="3"/>
      <c r="I1" s="5" t="s">
        <v>0</v>
      </c>
      <c r="J1" s="3" t="s">
        <v>1</v>
      </c>
      <c r="L1" s="76" t="s">
        <v>3</v>
      </c>
      <c r="M1" s="77"/>
      <c r="N1" s="7"/>
      <c r="O1" s="8" t="s">
        <v>4</v>
      </c>
      <c r="P1" s="9"/>
      <c r="Q1" s="8"/>
      <c r="R1" s="8"/>
      <c r="S1" s="8"/>
      <c r="T1" s="78" t="s">
        <v>5</v>
      </c>
      <c r="U1" s="77"/>
      <c r="V1" s="10"/>
      <c r="W1" s="10"/>
      <c r="X1" s="10"/>
      <c r="Y1" s="10"/>
      <c r="Z1" s="11" t="s">
        <v>6</v>
      </c>
      <c r="AA1" s="79" t="s">
        <v>7</v>
      </c>
      <c r="AB1" s="77"/>
      <c r="AC1" s="12"/>
      <c r="AD1" s="12"/>
      <c r="AE1" s="12"/>
      <c r="AF1" s="13" t="s">
        <v>8</v>
      </c>
      <c r="AG1" s="14"/>
      <c r="AH1" s="14"/>
    </row>
    <row r="2" spans="1:34" x14ac:dyDescent="0.2">
      <c r="A2" s="25" t="s">
        <v>9</v>
      </c>
      <c r="B2" s="25" t="s">
        <v>10</v>
      </c>
      <c r="C2" s="25" t="s">
        <v>11</v>
      </c>
      <c r="D2" s="25" t="s">
        <v>12</v>
      </c>
      <c r="E2" s="25" t="s">
        <v>13</v>
      </c>
      <c r="F2" s="26" t="s">
        <v>14</v>
      </c>
      <c r="G2" s="25" t="s">
        <v>15</v>
      </c>
      <c r="H2" s="25" t="s">
        <v>16</v>
      </c>
      <c r="I2" s="27"/>
      <c r="J2" s="25"/>
      <c r="K2" s="6" t="s">
        <v>2</v>
      </c>
      <c r="L2" s="28" t="s">
        <v>17</v>
      </c>
      <c r="M2" s="28" t="s">
        <v>18</v>
      </c>
      <c r="N2" s="28" t="s">
        <v>19</v>
      </c>
      <c r="O2" s="29" t="s">
        <v>20</v>
      </c>
      <c r="P2" s="30" t="s">
        <v>21</v>
      </c>
      <c r="Q2" s="29" t="s">
        <v>22</v>
      </c>
      <c r="R2" s="29" t="s">
        <v>23</v>
      </c>
      <c r="S2" s="29" t="s">
        <v>24</v>
      </c>
      <c r="T2" s="31" t="s">
        <v>25</v>
      </c>
      <c r="U2" s="31" t="s">
        <v>26</v>
      </c>
      <c r="V2" s="31" t="s">
        <v>27</v>
      </c>
      <c r="W2" s="31" t="s">
        <v>28</v>
      </c>
      <c r="X2" s="32" t="s">
        <v>29</v>
      </c>
      <c r="Y2" s="31" t="s">
        <v>30</v>
      </c>
      <c r="Z2" s="33"/>
      <c r="AA2" s="34" t="s">
        <v>31</v>
      </c>
      <c r="AB2" s="34" t="s">
        <v>32</v>
      </c>
      <c r="AC2" s="34" t="s">
        <v>33</v>
      </c>
      <c r="AD2" s="34" t="s">
        <v>34</v>
      </c>
      <c r="AE2" s="34" t="s">
        <v>35</v>
      </c>
      <c r="AF2" s="35"/>
      <c r="AG2" s="14"/>
      <c r="AH2" s="14"/>
    </row>
    <row r="3" spans="1:34" ht="15" customHeight="1" x14ac:dyDescent="0.2">
      <c r="A3" s="36" t="s">
        <v>36</v>
      </c>
      <c r="B3" s="36" t="s">
        <v>37</v>
      </c>
      <c r="C3" s="36" t="s">
        <v>38</v>
      </c>
      <c r="D3" s="36" t="s">
        <v>39</v>
      </c>
      <c r="E3" s="36" t="s">
        <v>40</v>
      </c>
      <c r="F3" s="37" t="s">
        <v>41</v>
      </c>
      <c r="G3" s="36">
        <f>VLOOKUP(F3,'[1]Saldos de Cartera'!$E$8:$S$343,15,0)</f>
        <v>27198.639999999999</v>
      </c>
      <c r="H3" s="36" t="s">
        <v>42</v>
      </c>
      <c r="I3" s="38">
        <v>45812</v>
      </c>
      <c r="J3" s="36">
        <v>99000018896</v>
      </c>
      <c r="K3" s="36" t="s">
        <v>43</v>
      </c>
      <c r="L3" s="36" t="s">
        <v>44</v>
      </c>
      <c r="M3" s="36" t="s">
        <v>45</v>
      </c>
      <c r="N3" s="36" t="s">
        <v>46</v>
      </c>
      <c r="O3" s="36" t="s">
        <v>47</v>
      </c>
      <c r="P3" s="40">
        <v>45804</v>
      </c>
      <c r="Q3" s="39" t="s">
        <v>48</v>
      </c>
      <c r="R3" s="39">
        <v>675755</v>
      </c>
      <c r="S3" s="39" t="s">
        <v>49</v>
      </c>
      <c r="T3" s="36" t="s">
        <v>50</v>
      </c>
      <c r="U3" s="40">
        <v>45820</v>
      </c>
      <c r="V3" s="39" t="s">
        <v>51</v>
      </c>
      <c r="W3" s="39" t="s">
        <v>52</v>
      </c>
      <c r="X3" s="39" t="s">
        <v>53</v>
      </c>
      <c r="Y3" s="39" t="s">
        <v>54</v>
      </c>
      <c r="Z3" s="36" t="s">
        <v>55</v>
      </c>
      <c r="AA3" s="41">
        <v>46199</v>
      </c>
      <c r="AB3" s="39" t="s">
        <v>56</v>
      </c>
      <c r="AC3" s="39" t="s">
        <v>57</v>
      </c>
      <c r="AD3" s="39" t="s">
        <v>58</v>
      </c>
      <c r="AE3" s="39" t="s">
        <v>59</v>
      </c>
      <c r="AF3" s="39" t="s">
        <v>60</v>
      </c>
      <c r="AG3" s="14"/>
      <c r="AH3" s="14"/>
    </row>
    <row r="4" spans="1:34" ht="15" customHeight="1" x14ac:dyDescent="0.2">
      <c r="A4" s="36" t="s">
        <v>36</v>
      </c>
      <c r="B4" s="36" t="s">
        <v>37</v>
      </c>
      <c r="C4" s="36" t="s">
        <v>38</v>
      </c>
      <c r="D4" s="36" t="s">
        <v>39</v>
      </c>
      <c r="E4" s="36" t="s">
        <v>61</v>
      </c>
      <c r="F4" s="37" t="s">
        <v>62</v>
      </c>
      <c r="G4" s="36">
        <f>VLOOKUP(F4,'[1]Saldos de Cartera'!$E$8:$S$343,15,0)</f>
        <v>77311.179999999993</v>
      </c>
      <c r="H4" s="36" t="s">
        <v>42</v>
      </c>
      <c r="I4" s="38">
        <v>45871</v>
      </c>
      <c r="J4" s="36">
        <v>99000016055</v>
      </c>
      <c r="K4" s="36" t="s">
        <v>43</v>
      </c>
      <c r="L4" s="36" t="s">
        <v>63</v>
      </c>
      <c r="M4" s="36" t="s">
        <v>45</v>
      </c>
      <c r="N4" s="36" t="s">
        <v>64</v>
      </c>
      <c r="O4" s="36" t="s">
        <v>47</v>
      </c>
      <c r="P4" s="40">
        <v>45869</v>
      </c>
      <c r="Q4" s="39" t="s">
        <v>65</v>
      </c>
      <c r="R4" s="39">
        <v>315047</v>
      </c>
      <c r="S4" s="36" t="s">
        <v>66</v>
      </c>
      <c r="T4" s="39"/>
      <c r="U4" s="39"/>
      <c r="V4" s="39"/>
      <c r="W4" s="39"/>
      <c r="X4" s="39" t="s">
        <v>67</v>
      </c>
      <c r="Y4" s="39"/>
      <c r="Z4" s="36" t="s">
        <v>55</v>
      </c>
      <c r="AA4" s="41">
        <v>46199</v>
      </c>
      <c r="AB4" s="39" t="s">
        <v>56</v>
      </c>
      <c r="AC4" s="36" t="s">
        <v>68</v>
      </c>
      <c r="AD4" s="36" t="s">
        <v>69</v>
      </c>
      <c r="AE4" s="39" t="s">
        <v>59</v>
      </c>
      <c r="AF4" s="39" t="s">
        <v>60</v>
      </c>
      <c r="AG4" s="14"/>
      <c r="AH4" s="14"/>
    </row>
    <row r="5" spans="1:34" ht="15" customHeight="1" x14ac:dyDescent="0.2">
      <c r="A5" s="36" t="s">
        <v>36</v>
      </c>
      <c r="B5" s="36" t="s">
        <v>37</v>
      </c>
      <c r="C5" s="36" t="s">
        <v>38</v>
      </c>
      <c r="D5" s="36" t="s">
        <v>39</v>
      </c>
      <c r="E5" s="36" t="s">
        <v>70</v>
      </c>
      <c r="F5" s="37" t="s">
        <v>71</v>
      </c>
      <c r="G5" s="36">
        <f>VLOOKUP(F5,'[1]Saldos de Cartera'!$E$8:$S$343,15,0)</f>
        <v>29000</v>
      </c>
      <c r="H5" s="36" t="s">
        <v>42</v>
      </c>
      <c r="I5" s="38">
        <v>45068</v>
      </c>
      <c r="J5" s="36">
        <v>99000008276</v>
      </c>
      <c r="K5" s="36" t="s">
        <v>72</v>
      </c>
      <c r="L5" s="36" t="s">
        <v>73</v>
      </c>
      <c r="M5" s="36" t="s">
        <v>74</v>
      </c>
      <c r="N5" s="36" t="s">
        <v>75</v>
      </c>
      <c r="O5" s="36" t="s">
        <v>47</v>
      </c>
      <c r="P5" s="42">
        <v>45057</v>
      </c>
      <c r="Q5" s="36" t="s">
        <v>76</v>
      </c>
      <c r="R5" s="39"/>
      <c r="S5" s="39" t="s">
        <v>49</v>
      </c>
      <c r="T5" s="36" t="s">
        <v>50</v>
      </c>
      <c r="U5" s="41">
        <v>45222</v>
      </c>
      <c r="V5" s="36" t="s">
        <v>77</v>
      </c>
      <c r="W5" s="39" t="s">
        <v>52</v>
      </c>
      <c r="X5" s="36" t="s">
        <v>78</v>
      </c>
      <c r="Y5" s="39" t="s">
        <v>79</v>
      </c>
      <c r="Z5" s="36" t="s">
        <v>80</v>
      </c>
      <c r="AA5" s="41">
        <v>46199</v>
      </c>
      <c r="AB5" s="39" t="s">
        <v>56</v>
      </c>
      <c r="AC5" s="36" t="s">
        <v>81</v>
      </c>
      <c r="AD5" s="36" t="s">
        <v>82</v>
      </c>
      <c r="AE5" s="39" t="s">
        <v>59</v>
      </c>
      <c r="AF5" s="39" t="s">
        <v>60</v>
      </c>
      <c r="AG5" s="14"/>
      <c r="AH5" s="14"/>
    </row>
    <row r="6" spans="1:34" ht="15" customHeight="1" x14ac:dyDescent="0.2">
      <c r="A6" s="36" t="s">
        <v>36</v>
      </c>
      <c r="B6" s="36" t="s">
        <v>37</v>
      </c>
      <c r="C6" s="36" t="s">
        <v>38</v>
      </c>
      <c r="D6" s="36" t="s">
        <v>39</v>
      </c>
      <c r="E6" s="36" t="s">
        <v>83</v>
      </c>
      <c r="F6" s="37" t="s">
        <v>84</v>
      </c>
      <c r="G6" s="36">
        <f>VLOOKUP(F6,'[1]Saldos de Cartera'!$E$8:$S$343,15,0)</f>
        <v>8376.56</v>
      </c>
      <c r="H6" s="36" t="s">
        <v>42</v>
      </c>
      <c r="I6" s="38">
        <v>45583</v>
      </c>
      <c r="J6" s="36">
        <v>99000018039</v>
      </c>
      <c r="K6" s="36" t="s">
        <v>43</v>
      </c>
      <c r="L6" s="36" t="s">
        <v>85</v>
      </c>
      <c r="M6" s="36" t="s">
        <v>45</v>
      </c>
      <c r="N6" s="36" t="s">
        <v>46</v>
      </c>
      <c r="O6" s="36" t="s">
        <v>47</v>
      </c>
      <c r="P6" s="41">
        <v>45575</v>
      </c>
      <c r="Q6" s="36" t="s">
        <v>86</v>
      </c>
      <c r="R6" s="39">
        <v>948166</v>
      </c>
      <c r="S6" s="39" t="s">
        <v>49</v>
      </c>
      <c r="T6" s="36" t="s">
        <v>50</v>
      </c>
      <c r="U6" s="41">
        <v>45695</v>
      </c>
      <c r="V6" s="36" t="s">
        <v>87</v>
      </c>
      <c r="W6" s="39" t="s">
        <v>52</v>
      </c>
      <c r="X6" s="36" t="s">
        <v>89</v>
      </c>
      <c r="Y6" s="39" t="s">
        <v>2544</v>
      </c>
      <c r="Z6" s="36" t="s">
        <v>80</v>
      </c>
      <c r="AA6" s="41">
        <v>46199</v>
      </c>
      <c r="AB6" s="39" t="s">
        <v>56</v>
      </c>
      <c r="AC6" s="36" t="s">
        <v>90</v>
      </c>
      <c r="AD6" s="36" t="s">
        <v>82</v>
      </c>
      <c r="AE6" s="39" t="s">
        <v>91</v>
      </c>
      <c r="AF6" s="39" t="s">
        <v>60</v>
      </c>
      <c r="AG6" s="14"/>
      <c r="AH6" s="14"/>
    </row>
    <row r="7" spans="1:34" ht="15" customHeight="1" x14ac:dyDescent="0.2">
      <c r="A7" s="36" t="s">
        <v>36</v>
      </c>
      <c r="B7" s="36" t="s">
        <v>37</v>
      </c>
      <c r="C7" s="36" t="s">
        <v>38</v>
      </c>
      <c r="D7" s="36" t="s">
        <v>39</v>
      </c>
      <c r="E7" s="36" t="s">
        <v>92</v>
      </c>
      <c r="F7" s="37" t="s">
        <v>93</v>
      </c>
      <c r="G7" s="36">
        <f>VLOOKUP(F7,'[1]Saldos de Cartera'!$E$8:$S$343,15,0)</f>
        <v>15339.55</v>
      </c>
      <c r="H7" s="36" t="s">
        <v>42</v>
      </c>
      <c r="I7" s="38">
        <v>45735</v>
      </c>
      <c r="J7" s="36">
        <v>99000017988</v>
      </c>
      <c r="K7" s="36" t="s">
        <v>43</v>
      </c>
      <c r="L7" s="36" t="s">
        <v>94</v>
      </c>
      <c r="M7" s="36" t="s">
        <v>45</v>
      </c>
      <c r="N7" s="36" t="s">
        <v>95</v>
      </c>
      <c r="O7" s="36" t="s">
        <v>96</v>
      </c>
      <c r="P7" s="36"/>
      <c r="Q7" s="36"/>
      <c r="R7" s="39"/>
      <c r="S7" s="36"/>
      <c r="T7" s="36" t="s">
        <v>50</v>
      </c>
      <c r="U7" s="42">
        <v>45734</v>
      </c>
      <c r="V7" s="36" t="s">
        <v>97</v>
      </c>
      <c r="W7" s="39" t="s">
        <v>52</v>
      </c>
      <c r="X7" s="39" t="s">
        <v>96</v>
      </c>
      <c r="Y7" s="39" t="s">
        <v>98</v>
      </c>
      <c r="Z7" s="36" t="s">
        <v>96</v>
      </c>
      <c r="AA7" s="41">
        <v>46199</v>
      </c>
      <c r="AB7" s="39" t="s">
        <v>56</v>
      </c>
      <c r="AC7" s="36" t="s">
        <v>90</v>
      </c>
      <c r="AD7" s="36" t="s">
        <v>82</v>
      </c>
      <c r="AE7" s="39" t="s">
        <v>91</v>
      </c>
      <c r="AF7" s="39" t="s">
        <v>99</v>
      </c>
      <c r="AG7" s="14"/>
      <c r="AH7" s="14"/>
    </row>
    <row r="8" spans="1:34" ht="15" customHeight="1" x14ac:dyDescent="0.2">
      <c r="A8" s="36" t="s">
        <v>36</v>
      </c>
      <c r="B8" s="36" t="s">
        <v>37</v>
      </c>
      <c r="C8" s="36" t="s">
        <v>38</v>
      </c>
      <c r="D8" s="36" t="s">
        <v>39</v>
      </c>
      <c r="E8" s="36" t="s">
        <v>100</v>
      </c>
      <c r="F8" s="37" t="s">
        <v>101</v>
      </c>
      <c r="G8" s="36">
        <f>VLOOKUP(F8,'[1]Saldos de Cartera'!$E$8:$S$343,15,0)</f>
        <v>27120.44</v>
      </c>
      <c r="H8" s="36" t="s">
        <v>42</v>
      </c>
      <c r="I8" s="38">
        <v>44495</v>
      </c>
      <c r="J8" s="36">
        <v>99000006955</v>
      </c>
      <c r="K8" s="36" t="s">
        <v>43</v>
      </c>
      <c r="L8" s="36" t="s">
        <v>102</v>
      </c>
      <c r="M8" s="36" t="s">
        <v>74</v>
      </c>
      <c r="N8" s="36" t="s">
        <v>103</v>
      </c>
      <c r="O8" s="36" t="s">
        <v>96</v>
      </c>
      <c r="P8" s="36"/>
      <c r="Q8" s="36"/>
      <c r="R8" s="39"/>
      <c r="S8" s="36"/>
      <c r="T8" s="36" t="s">
        <v>50</v>
      </c>
      <c r="U8" s="41">
        <v>44494</v>
      </c>
      <c r="V8" s="36" t="s">
        <v>104</v>
      </c>
      <c r="W8" s="39" t="s">
        <v>52</v>
      </c>
      <c r="X8" s="39" t="s">
        <v>96</v>
      </c>
      <c r="Y8" s="39" t="s">
        <v>105</v>
      </c>
      <c r="Z8" s="36" t="s">
        <v>96</v>
      </c>
      <c r="AA8" s="41">
        <v>46199</v>
      </c>
      <c r="AB8" s="39" t="s">
        <v>56</v>
      </c>
      <c r="AC8" s="36" t="s">
        <v>90</v>
      </c>
      <c r="AD8" s="36" t="s">
        <v>69</v>
      </c>
      <c r="AE8" s="39" t="s">
        <v>91</v>
      </c>
      <c r="AF8" s="39" t="s">
        <v>99</v>
      </c>
      <c r="AG8" s="14"/>
      <c r="AH8" s="14"/>
    </row>
    <row r="9" spans="1:34" ht="15" customHeight="1" x14ac:dyDescent="0.2">
      <c r="A9" s="36" t="s">
        <v>36</v>
      </c>
      <c r="B9" s="36" t="s">
        <v>37</v>
      </c>
      <c r="C9" s="36" t="s">
        <v>38</v>
      </c>
      <c r="D9" s="36" t="s">
        <v>39</v>
      </c>
      <c r="E9" s="36" t="s">
        <v>106</v>
      </c>
      <c r="F9" s="37" t="s">
        <v>107</v>
      </c>
      <c r="G9" s="36">
        <f>VLOOKUP(F9,'[1]Saldos de Cartera'!$E$8:$S$343,15,0)</f>
        <v>25124.560000000001</v>
      </c>
      <c r="H9" s="36" t="s">
        <v>42</v>
      </c>
      <c r="I9" s="38">
        <v>45824</v>
      </c>
      <c r="J9" s="36">
        <v>99000012982</v>
      </c>
      <c r="K9" s="36" t="s">
        <v>43</v>
      </c>
      <c r="L9" s="36" t="s">
        <v>108</v>
      </c>
      <c r="M9" s="36" t="s">
        <v>45</v>
      </c>
      <c r="N9" s="36" t="s">
        <v>109</v>
      </c>
      <c r="O9" s="36" t="s">
        <v>47</v>
      </c>
      <c r="P9" s="43">
        <v>45138</v>
      </c>
      <c r="Q9" s="39" t="s">
        <v>110</v>
      </c>
      <c r="R9" s="39">
        <v>724829</v>
      </c>
      <c r="S9" s="39" t="s">
        <v>49</v>
      </c>
      <c r="T9" s="36" t="s">
        <v>50</v>
      </c>
      <c r="U9" s="43">
        <v>45226</v>
      </c>
      <c r="V9" s="39" t="s">
        <v>111</v>
      </c>
      <c r="W9" s="39" t="s">
        <v>52</v>
      </c>
      <c r="X9" s="39" t="s">
        <v>112</v>
      </c>
      <c r="Y9" s="39" t="s">
        <v>113</v>
      </c>
      <c r="Z9" s="36" t="s">
        <v>55</v>
      </c>
      <c r="AA9" s="41">
        <v>46199</v>
      </c>
      <c r="AB9" s="39" t="s">
        <v>56</v>
      </c>
      <c r="AC9" s="39" t="s">
        <v>114</v>
      </c>
      <c r="AD9" s="39" t="s">
        <v>58</v>
      </c>
      <c r="AE9" s="39" t="s">
        <v>91</v>
      </c>
      <c r="AF9" s="39" t="s">
        <v>99</v>
      </c>
      <c r="AG9" s="14"/>
      <c r="AH9" s="14"/>
    </row>
    <row r="10" spans="1:34" ht="15" customHeight="1" x14ac:dyDescent="0.2">
      <c r="A10" s="36" t="s">
        <v>36</v>
      </c>
      <c r="B10" s="36" t="s">
        <v>37</v>
      </c>
      <c r="C10" s="36" t="s">
        <v>38</v>
      </c>
      <c r="D10" s="36" t="s">
        <v>39</v>
      </c>
      <c r="E10" s="36" t="s">
        <v>115</v>
      </c>
      <c r="F10" s="37" t="s">
        <v>116</v>
      </c>
      <c r="G10" s="36">
        <f>VLOOKUP(F10,'[1]Saldos de Cartera'!$E$8:$S$343,15,0)</f>
        <v>13100.15</v>
      </c>
      <c r="H10" s="36" t="s">
        <v>42</v>
      </c>
      <c r="I10" s="38">
        <v>45762</v>
      </c>
      <c r="J10" s="36">
        <v>99000019175</v>
      </c>
      <c r="K10" s="36" t="s">
        <v>72</v>
      </c>
      <c r="L10" s="36" t="s">
        <v>117</v>
      </c>
      <c r="M10" s="36" t="s">
        <v>45</v>
      </c>
      <c r="N10" s="36" t="s">
        <v>118</v>
      </c>
      <c r="O10" s="36" t="s">
        <v>47</v>
      </c>
      <c r="P10" s="40">
        <v>45761</v>
      </c>
      <c r="Q10" s="39" t="s">
        <v>119</v>
      </c>
      <c r="R10" s="39">
        <v>994003</v>
      </c>
      <c r="S10" s="39" t="s">
        <v>49</v>
      </c>
      <c r="T10" s="36" t="s">
        <v>50</v>
      </c>
      <c r="U10" s="43">
        <v>45959</v>
      </c>
      <c r="V10" s="39" t="s">
        <v>120</v>
      </c>
      <c r="W10" s="39" t="s">
        <v>52</v>
      </c>
      <c r="X10" s="36" t="s">
        <v>121</v>
      </c>
      <c r="Y10" s="39" t="s">
        <v>2545</v>
      </c>
      <c r="Z10" s="36" t="s">
        <v>122</v>
      </c>
      <c r="AA10" s="41">
        <v>46199</v>
      </c>
      <c r="AB10" s="39" t="s">
        <v>56</v>
      </c>
      <c r="AC10" s="36" t="s">
        <v>81</v>
      </c>
      <c r="AD10" s="36" t="s">
        <v>69</v>
      </c>
      <c r="AE10" s="39" t="s">
        <v>59</v>
      </c>
      <c r="AF10" s="39" t="s">
        <v>99</v>
      </c>
      <c r="AG10" s="14"/>
      <c r="AH10" s="14"/>
    </row>
    <row r="11" spans="1:34" ht="15" customHeight="1" x14ac:dyDescent="0.2">
      <c r="A11" s="36" t="s">
        <v>36</v>
      </c>
      <c r="B11" s="36" t="s">
        <v>37</v>
      </c>
      <c r="C11" s="36" t="s">
        <v>38</v>
      </c>
      <c r="D11" s="36" t="s">
        <v>39</v>
      </c>
      <c r="E11" s="36" t="s">
        <v>123</v>
      </c>
      <c r="F11" s="37" t="s">
        <v>124</v>
      </c>
      <c r="G11" s="36">
        <f>VLOOKUP(F11,'[1]Saldos de Cartera'!$E$8:$S$343,15,0)</f>
        <v>54115.74</v>
      </c>
      <c r="H11" s="36" t="s">
        <v>42</v>
      </c>
      <c r="I11" s="38">
        <v>45887</v>
      </c>
      <c r="J11" s="36">
        <v>99000019780</v>
      </c>
      <c r="K11" s="36" t="s">
        <v>43</v>
      </c>
      <c r="L11" s="36" t="s">
        <v>125</v>
      </c>
      <c r="M11" s="36" t="s">
        <v>45</v>
      </c>
      <c r="N11" s="36" t="s">
        <v>126</v>
      </c>
      <c r="O11" s="36" t="s">
        <v>47</v>
      </c>
      <c r="P11" s="40">
        <v>45884</v>
      </c>
      <c r="Q11" s="39" t="s">
        <v>127</v>
      </c>
      <c r="R11" s="39">
        <v>349900</v>
      </c>
      <c r="S11" s="39" t="s">
        <v>49</v>
      </c>
      <c r="T11" s="36" t="s">
        <v>50</v>
      </c>
      <c r="U11" s="43">
        <v>46007</v>
      </c>
      <c r="V11" s="39" t="s">
        <v>128</v>
      </c>
      <c r="W11" s="39" t="s">
        <v>52</v>
      </c>
      <c r="X11" s="39" t="s">
        <v>129</v>
      </c>
      <c r="Y11" s="39" t="s">
        <v>130</v>
      </c>
      <c r="Z11" s="36" t="s">
        <v>55</v>
      </c>
      <c r="AA11" s="41">
        <v>46199</v>
      </c>
      <c r="AB11" s="39" t="s">
        <v>56</v>
      </c>
      <c r="AC11" s="36" t="s">
        <v>68</v>
      </c>
      <c r="AD11" s="36" t="s">
        <v>69</v>
      </c>
      <c r="AE11" s="39" t="s">
        <v>59</v>
      </c>
      <c r="AF11" s="39" t="s">
        <v>99</v>
      </c>
      <c r="AG11" s="14"/>
      <c r="AH11" s="14"/>
    </row>
    <row r="12" spans="1:34" ht="15" customHeight="1" x14ac:dyDescent="0.2">
      <c r="A12" s="36" t="s">
        <v>36</v>
      </c>
      <c r="B12" s="36" t="s">
        <v>37</v>
      </c>
      <c r="C12" s="36" t="s">
        <v>38</v>
      </c>
      <c r="D12" s="36" t="s">
        <v>39</v>
      </c>
      <c r="E12" s="36" t="s">
        <v>131</v>
      </c>
      <c r="F12" s="37" t="s">
        <v>132</v>
      </c>
      <c r="G12" s="36">
        <f>VLOOKUP(F12,'[1]Saldos de Cartera'!$E$8:$S$343,15,0)</f>
        <v>16152.41</v>
      </c>
      <c r="H12" s="36" t="s">
        <v>42</v>
      </c>
      <c r="I12" s="38">
        <v>45902</v>
      </c>
      <c r="J12" s="36">
        <v>99000019538</v>
      </c>
      <c r="K12" s="36" t="s">
        <v>43</v>
      </c>
      <c r="L12" s="36" t="s">
        <v>133</v>
      </c>
      <c r="M12" s="36" t="s">
        <v>45</v>
      </c>
      <c r="N12" s="36" t="s">
        <v>46</v>
      </c>
      <c r="O12" s="36" t="s">
        <v>47</v>
      </c>
      <c r="P12" s="40">
        <v>45901</v>
      </c>
      <c r="Q12" s="39" t="s">
        <v>134</v>
      </c>
      <c r="R12" s="39">
        <v>808335</v>
      </c>
      <c r="S12" s="39" t="s">
        <v>49</v>
      </c>
      <c r="T12" s="36" t="s">
        <v>50</v>
      </c>
      <c r="U12" s="40">
        <v>46094</v>
      </c>
      <c r="V12" s="39" t="s">
        <v>134</v>
      </c>
      <c r="W12" s="39" t="s">
        <v>88</v>
      </c>
      <c r="X12" s="39" t="s">
        <v>135</v>
      </c>
      <c r="Y12" s="39" t="s">
        <v>136</v>
      </c>
      <c r="Z12" s="36" t="s">
        <v>137</v>
      </c>
      <c r="AA12" s="43">
        <v>46199</v>
      </c>
      <c r="AB12" s="39" t="s">
        <v>56</v>
      </c>
      <c r="AC12" s="39" t="s">
        <v>68</v>
      </c>
      <c r="AD12" s="39" t="s">
        <v>69</v>
      </c>
      <c r="AE12" s="39" t="s">
        <v>59</v>
      </c>
      <c r="AF12" s="39" t="s">
        <v>60</v>
      </c>
      <c r="AG12" s="14"/>
      <c r="AH12" s="14"/>
    </row>
    <row r="13" spans="1:34" ht="15" customHeight="1" x14ac:dyDescent="0.2">
      <c r="A13" s="36" t="s">
        <v>36</v>
      </c>
      <c r="B13" s="36" t="s">
        <v>37</v>
      </c>
      <c r="C13" s="36" t="s">
        <v>38</v>
      </c>
      <c r="D13" s="36" t="s">
        <v>39</v>
      </c>
      <c r="E13" s="36" t="s">
        <v>138</v>
      </c>
      <c r="F13" s="37" t="s">
        <v>139</v>
      </c>
      <c r="G13" s="36">
        <f>VLOOKUP(F13,'[1]Saldos de Cartera'!$E$8:$S$343,15,0)</f>
        <v>6897.68</v>
      </c>
      <c r="H13" s="36" t="s">
        <v>42</v>
      </c>
      <c r="I13" s="38">
        <v>45436</v>
      </c>
      <c r="J13" s="36">
        <v>99000013872</v>
      </c>
      <c r="K13" s="36" t="s">
        <v>43</v>
      </c>
      <c r="L13" s="36" t="s">
        <v>140</v>
      </c>
      <c r="M13" s="36" t="s">
        <v>74</v>
      </c>
      <c r="N13" s="36" t="s">
        <v>141</v>
      </c>
      <c r="O13" s="36" t="s">
        <v>47</v>
      </c>
      <c r="P13" s="42">
        <v>45435</v>
      </c>
      <c r="Q13" s="36" t="s">
        <v>142</v>
      </c>
      <c r="R13" s="39">
        <v>111297</v>
      </c>
      <c r="S13" s="39" t="s">
        <v>49</v>
      </c>
      <c r="T13" s="36" t="s">
        <v>50</v>
      </c>
      <c r="U13" s="42">
        <v>45537</v>
      </c>
      <c r="V13" s="36" t="s">
        <v>143</v>
      </c>
      <c r="W13" s="39" t="s">
        <v>52</v>
      </c>
      <c r="X13" s="36" t="s">
        <v>144</v>
      </c>
      <c r="Y13" s="39" t="s">
        <v>145</v>
      </c>
      <c r="Z13" s="36" t="s">
        <v>55</v>
      </c>
      <c r="AA13" s="41">
        <v>46199</v>
      </c>
      <c r="AB13" s="39" t="s">
        <v>56</v>
      </c>
      <c r="AC13" s="36" t="s">
        <v>90</v>
      </c>
      <c r="AD13" s="36" t="s">
        <v>69</v>
      </c>
      <c r="AE13" s="39" t="s">
        <v>91</v>
      </c>
      <c r="AF13" s="39" t="s">
        <v>60</v>
      </c>
      <c r="AG13" s="14"/>
      <c r="AH13" s="14"/>
    </row>
    <row r="14" spans="1:34" ht="15" customHeight="1" x14ac:dyDescent="0.2">
      <c r="A14" s="36" t="s">
        <v>36</v>
      </c>
      <c r="B14" s="36" t="s">
        <v>37</v>
      </c>
      <c r="C14" s="36" t="s">
        <v>38</v>
      </c>
      <c r="D14" s="36" t="s">
        <v>39</v>
      </c>
      <c r="E14" s="36" t="s">
        <v>146</v>
      </c>
      <c r="F14" s="37" t="s">
        <v>147</v>
      </c>
      <c r="G14" s="36">
        <f>VLOOKUP(F14,'[1]Saldos de Cartera'!$E$8:$S$343,15,0)</f>
        <v>14333.17</v>
      </c>
      <c r="H14" s="36" t="s">
        <v>42</v>
      </c>
      <c r="I14" s="38">
        <v>45615</v>
      </c>
      <c r="J14" s="36">
        <v>99000018541</v>
      </c>
      <c r="K14" s="36" t="s">
        <v>43</v>
      </c>
      <c r="L14" s="36" t="s">
        <v>148</v>
      </c>
      <c r="M14" s="36" t="s">
        <v>45</v>
      </c>
      <c r="N14" s="36" t="s">
        <v>118</v>
      </c>
      <c r="O14" s="36" t="s">
        <v>47</v>
      </c>
      <c r="P14" s="41">
        <v>45614</v>
      </c>
      <c r="Q14" s="36" t="s">
        <v>149</v>
      </c>
      <c r="R14" s="39">
        <v>131552</v>
      </c>
      <c r="S14" s="39" t="s">
        <v>49</v>
      </c>
      <c r="T14" s="36" t="s">
        <v>50</v>
      </c>
      <c r="U14" s="42">
        <v>45735</v>
      </c>
      <c r="V14" s="36" t="s">
        <v>150</v>
      </c>
      <c r="W14" s="39" t="s">
        <v>52</v>
      </c>
      <c r="X14" s="36" t="s">
        <v>151</v>
      </c>
      <c r="Y14" s="39" t="s">
        <v>152</v>
      </c>
      <c r="Z14" s="36" t="s">
        <v>80</v>
      </c>
      <c r="AA14" s="41">
        <v>46199</v>
      </c>
      <c r="AB14" s="39" t="s">
        <v>56</v>
      </c>
      <c r="AC14" s="36" t="s">
        <v>90</v>
      </c>
      <c r="AD14" s="36" t="s">
        <v>69</v>
      </c>
      <c r="AE14" s="39" t="s">
        <v>91</v>
      </c>
      <c r="AF14" s="39" t="s">
        <v>99</v>
      </c>
      <c r="AG14" s="14"/>
      <c r="AH14" s="14"/>
    </row>
    <row r="15" spans="1:34" ht="15" customHeight="1" x14ac:dyDescent="0.2">
      <c r="A15" s="36" t="s">
        <v>36</v>
      </c>
      <c r="B15" s="36" t="s">
        <v>37</v>
      </c>
      <c r="C15" s="36" t="s">
        <v>38</v>
      </c>
      <c r="D15" s="36" t="s">
        <v>39</v>
      </c>
      <c r="E15" s="36" t="s">
        <v>153</v>
      </c>
      <c r="F15" s="37" t="s">
        <v>154</v>
      </c>
      <c r="G15" s="36">
        <f>VLOOKUP(F15,'[1]Saldos de Cartera'!$E$8:$S$343,15,0)</f>
        <v>26199.49</v>
      </c>
      <c r="H15" s="36" t="s">
        <v>42</v>
      </c>
      <c r="I15" s="38">
        <v>45295</v>
      </c>
      <c r="J15" s="36">
        <v>99000015316</v>
      </c>
      <c r="K15" s="36" t="s">
        <v>43</v>
      </c>
      <c r="L15" s="36" t="s">
        <v>155</v>
      </c>
      <c r="M15" s="36" t="s">
        <v>74</v>
      </c>
      <c r="N15" s="36" t="s">
        <v>156</v>
      </c>
      <c r="O15" s="36" t="s">
        <v>47</v>
      </c>
      <c r="P15" s="41">
        <v>45282</v>
      </c>
      <c r="Q15" s="36" t="s">
        <v>157</v>
      </c>
      <c r="R15" s="39">
        <v>266819</v>
      </c>
      <c r="S15" s="39" t="s">
        <v>49</v>
      </c>
      <c r="T15" s="36" t="s">
        <v>50</v>
      </c>
      <c r="U15" s="41">
        <v>45497</v>
      </c>
      <c r="V15" s="36" t="s">
        <v>158</v>
      </c>
      <c r="W15" s="39" t="s">
        <v>52</v>
      </c>
      <c r="X15" s="36" t="s">
        <v>159</v>
      </c>
      <c r="Y15" s="39" t="s">
        <v>160</v>
      </c>
      <c r="Z15" s="36" t="s">
        <v>55</v>
      </c>
      <c r="AA15" s="41">
        <v>46199</v>
      </c>
      <c r="AB15" s="39" t="s">
        <v>56</v>
      </c>
      <c r="AC15" s="36" t="s">
        <v>161</v>
      </c>
      <c r="AD15" s="36" t="s">
        <v>69</v>
      </c>
      <c r="AE15" s="39" t="s">
        <v>59</v>
      </c>
      <c r="AF15" s="39" t="s">
        <v>60</v>
      </c>
      <c r="AG15" s="14"/>
      <c r="AH15" s="14"/>
    </row>
    <row r="16" spans="1:34" ht="15" customHeight="1" x14ac:dyDescent="0.2">
      <c r="A16" s="36" t="s">
        <v>36</v>
      </c>
      <c r="B16" s="36" t="s">
        <v>37</v>
      </c>
      <c r="C16" s="36" t="s">
        <v>38</v>
      </c>
      <c r="D16" s="36" t="s">
        <v>39</v>
      </c>
      <c r="E16" s="36" t="s">
        <v>162</v>
      </c>
      <c r="F16" s="37" t="s">
        <v>163</v>
      </c>
      <c r="G16" s="36">
        <f>VLOOKUP(F16,'[1]Saldos de Cartera'!$E$8:$S$343,15,0)</f>
        <v>22838.33</v>
      </c>
      <c r="H16" s="36" t="s">
        <v>42</v>
      </c>
      <c r="I16" s="38">
        <v>45262</v>
      </c>
      <c r="J16" s="36">
        <v>99000011035</v>
      </c>
      <c r="K16" s="36" t="s">
        <v>43</v>
      </c>
      <c r="L16" s="36" t="s">
        <v>164</v>
      </c>
      <c r="M16" s="36" t="s">
        <v>74</v>
      </c>
      <c r="N16" s="36" t="s">
        <v>156</v>
      </c>
      <c r="O16" s="36" t="s">
        <v>47</v>
      </c>
      <c r="P16" s="41">
        <v>45250</v>
      </c>
      <c r="Q16" s="36" t="s">
        <v>165</v>
      </c>
      <c r="R16" s="39">
        <v>674893</v>
      </c>
      <c r="S16" s="39" t="s">
        <v>49</v>
      </c>
      <c r="T16" s="36" t="s">
        <v>50</v>
      </c>
      <c r="U16" s="42">
        <v>45331</v>
      </c>
      <c r="V16" s="36" t="s">
        <v>166</v>
      </c>
      <c r="W16" s="39" t="s">
        <v>52</v>
      </c>
      <c r="X16" s="36" t="s">
        <v>167</v>
      </c>
      <c r="Y16" s="39" t="s">
        <v>168</v>
      </c>
      <c r="Z16" s="36" t="s">
        <v>55</v>
      </c>
      <c r="AA16" s="41">
        <v>46199</v>
      </c>
      <c r="AB16" s="39" t="s">
        <v>56</v>
      </c>
      <c r="AC16" s="36" t="s">
        <v>90</v>
      </c>
      <c r="AD16" s="36" t="s">
        <v>69</v>
      </c>
      <c r="AE16" s="39" t="s">
        <v>91</v>
      </c>
      <c r="AF16" s="39" t="s">
        <v>99</v>
      </c>
      <c r="AG16" s="14"/>
      <c r="AH16" s="14"/>
    </row>
    <row r="17" spans="1:34" ht="15" customHeight="1" x14ac:dyDescent="0.2">
      <c r="A17" s="36" t="s">
        <v>36</v>
      </c>
      <c r="B17" s="36" t="s">
        <v>37</v>
      </c>
      <c r="C17" s="36" t="s">
        <v>38</v>
      </c>
      <c r="D17" s="36" t="s">
        <v>39</v>
      </c>
      <c r="E17" s="36" t="s">
        <v>169</v>
      </c>
      <c r="F17" s="37" t="s">
        <v>170</v>
      </c>
      <c r="G17" s="36">
        <f>VLOOKUP(F17,'[1]Saldos de Cartera'!$E$8:$S$343,15,0)</f>
        <v>976.67</v>
      </c>
      <c r="H17" s="36" t="s">
        <v>42</v>
      </c>
      <c r="I17" s="38">
        <v>45535</v>
      </c>
      <c r="J17" s="36">
        <v>99000017438</v>
      </c>
      <c r="K17" s="36" t="s">
        <v>43</v>
      </c>
      <c r="L17" s="36" t="s">
        <v>171</v>
      </c>
      <c r="M17" s="36" t="s">
        <v>74</v>
      </c>
      <c r="N17" s="36" t="s">
        <v>141</v>
      </c>
      <c r="O17" s="36" t="s">
        <v>96</v>
      </c>
      <c r="P17" s="36"/>
      <c r="Q17" s="36"/>
      <c r="R17" s="39"/>
      <c r="S17" s="36"/>
      <c r="T17" s="36" t="s">
        <v>50</v>
      </c>
      <c r="U17" s="42">
        <v>45526</v>
      </c>
      <c r="V17" s="36" t="s">
        <v>172</v>
      </c>
      <c r="W17" s="39" t="s">
        <v>52</v>
      </c>
      <c r="X17" s="39" t="s">
        <v>96</v>
      </c>
      <c r="Y17" s="39" t="s">
        <v>173</v>
      </c>
      <c r="Z17" s="36" t="s">
        <v>96</v>
      </c>
      <c r="AA17" s="41">
        <v>46199</v>
      </c>
      <c r="AB17" s="39" t="s">
        <v>56</v>
      </c>
      <c r="AC17" s="36" t="s">
        <v>90</v>
      </c>
      <c r="AD17" s="36" t="s">
        <v>82</v>
      </c>
      <c r="AE17" s="39" t="s">
        <v>91</v>
      </c>
      <c r="AF17" s="39" t="s">
        <v>99</v>
      </c>
      <c r="AG17" s="14"/>
      <c r="AH17" s="14"/>
    </row>
    <row r="18" spans="1:34" ht="15" customHeight="1" x14ac:dyDescent="0.2">
      <c r="A18" s="36" t="s">
        <v>36</v>
      </c>
      <c r="B18" s="36" t="s">
        <v>37</v>
      </c>
      <c r="C18" s="36" t="s">
        <v>38</v>
      </c>
      <c r="D18" s="36" t="s">
        <v>39</v>
      </c>
      <c r="E18" s="36" t="s">
        <v>174</v>
      </c>
      <c r="F18" s="37" t="s">
        <v>175</v>
      </c>
      <c r="G18" s="36">
        <f>VLOOKUP(F18,'[1]Saldos de Cartera'!$E$8:$S$343,15,0)</f>
        <v>5080.3599999999997</v>
      </c>
      <c r="H18" s="36" t="s">
        <v>42</v>
      </c>
      <c r="I18" s="38">
        <v>45255</v>
      </c>
      <c r="J18" s="36">
        <v>99000014724</v>
      </c>
      <c r="K18" s="36" t="s">
        <v>43</v>
      </c>
      <c r="L18" s="36" t="s">
        <v>176</v>
      </c>
      <c r="M18" s="36" t="s">
        <v>74</v>
      </c>
      <c r="N18" s="36" t="s">
        <v>156</v>
      </c>
      <c r="O18" s="36" t="s">
        <v>47</v>
      </c>
      <c r="P18" s="41">
        <v>45250</v>
      </c>
      <c r="Q18" s="36" t="s">
        <v>177</v>
      </c>
      <c r="R18" s="39">
        <v>247437</v>
      </c>
      <c r="S18" s="39" t="s">
        <v>49</v>
      </c>
      <c r="T18" s="36" t="s">
        <v>50</v>
      </c>
      <c r="U18" s="42">
        <v>45334</v>
      </c>
      <c r="V18" s="36" t="s">
        <v>178</v>
      </c>
      <c r="W18" s="39" t="s">
        <v>52</v>
      </c>
      <c r="X18" s="36" t="s">
        <v>179</v>
      </c>
      <c r="Y18" s="39" t="s">
        <v>180</v>
      </c>
      <c r="Z18" s="36" t="s">
        <v>80</v>
      </c>
      <c r="AA18" s="41">
        <v>46199</v>
      </c>
      <c r="AB18" s="39" t="s">
        <v>56</v>
      </c>
      <c r="AC18" s="36" t="s">
        <v>90</v>
      </c>
      <c r="AD18" s="36" t="s">
        <v>69</v>
      </c>
      <c r="AE18" s="39" t="s">
        <v>91</v>
      </c>
      <c r="AF18" s="39" t="s">
        <v>99</v>
      </c>
      <c r="AG18" s="14"/>
      <c r="AH18" s="14"/>
    </row>
    <row r="19" spans="1:34" ht="15" customHeight="1" x14ac:dyDescent="0.2">
      <c r="A19" s="36" t="s">
        <v>36</v>
      </c>
      <c r="B19" s="36" t="s">
        <v>37</v>
      </c>
      <c r="C19" s="36" t="s">
        <v>38</v>
      </c>
      <c r="D19" s="36" t="s">
        <v>39</v>
      </c>
      <c r="E19" s="36" t="s">
        <v>181</v>
      </c>
      <c r="F19" s="37" t="s">
        <v>182</v>
      </c>
      <c r="G19" s="36">
        <f>VLOOKUP(F19,'[1]Saldos de Cartera'!$E$8:$S$343,15,0)</f>
        <v>6359.2</v>
      </c>
      <c r="H19" s="36" t="s">
        <v>42</v>
      </c>
      <c r="I19" s="38">
        <v>45110</v>
      </c>
      <c r="J19" s="36">
        <v>99000011150</v>
      </c>
      <c r="K19" s="36" t="s">
        <v>43</v>
      </c>
      <c r="L19" s="36" t="s">
        <v>183</v>
      </c>
      <c r="M19" s="36" t="s">
        <v>74</v>
      </c>
      <c r="N19" s="36" t="s">
        <v>156</v>
      </c>
      <c r="O19" s="36" t="s">
        <v>47</v>
      </c>
      <c r="P19" s="42">
        <v>45103</v>
      </c>
      <c r="Q19" s="36" t="s">
        <v>184</v>
      </c>
      <c r="R19" s="39"/>
      <c r="S19" s="39" t="s">
        <v>49</v>
      </c>
      <c r="T19" s="36" t="s">
        <v>50</v>
      </c>
      <c r="U19" s="42">
        <v>45239</v>
      </c>
      <c r="V19" s="36" t="s">
        <v>185</v>
      </c>
      <c r="W19" s="39" t="s">
        <v>52</v>
      </c>
      <c r="X19" s="36" t="s">
        <v>186</v>
      </c>
      <c r="Y19" s="39" t="s">
        <v>187</v>
      </c>
      <c r="Z19" s="36" t="s">
        <v>55</v>
      </c>
      <c r="AA19" s="41">
        <v>46199</v>
      </c>
      <c r="AB19" s="39" t="s">
        <v>56</v>
      </c>
      <c r="AC19" s="36" t="s">
        <v>90</v>
      </c>
      <c r="AD19" s="36" t="s">
        <v>69</v>
      </c>
      <c r="AE19" s="39" t="s">
        <v>91</v>
      </c>
      <c r="AF19" s="39" t="s">
        <v>99</v>
      </c>
      <c r="AG19" s="14"/>
      <c r="AH19" s="14"/>
    </row>
    <row r="20" spans="1:34" ht="15" customHeight="1" x14ac:dyDescent="0.2">
      <c r="A20" s="36" t="s">
        <v>36</v>
      </c>
      <c r="B20" s="36" t="s">
        <v>37</v>
      </c>
      <c r="C20" s="36" t="s">
        <v>38</v>
      </c>
      <c r="D20" s="36" t="s">
        <v>39</v>
      </c>
      <c r="E20" s="36" t="s">
        <v>188</v>
      </c>
      <c r="F20" s="37" t="s">
        <v>189</v>
      </c>
      <c r="G20" s="36">
        <f>VLOOKUP(F20,'[1]Saldos de Cartera'!$E$8:$S$343,15,0)</f>
        <v>29455.279999999999</v>
      </c>
      <c r="H20" s="36" t="s">
        <v>42</v>
      </c>
      <c r="I20" s="38">
        <v>45841</v>
      </c>
      <c r="J20" s="36">
        <v>99000018651</v>
      </c>
      <c r="K20" s="36" t="s">
        <v>43</v>
      </c>
      <c r="L20" s="36" t="s">
        <v>190</v>
      </c>
      <c r="M20" s="36" t="s">
        <v>45</v>
      </c>
      <c r="N20" s="36" t="s">
        <v>191</v>
      </c>
      <c r="O20" s="36" t="s">
        <v>47</v>
      </c>
      <c r="P20" s="40">
        <v>45835</v>
      </c>
      <c r="Q20" s="39" t="s">
        <v>192</v>
      </c>
      <c r="R20" s="39">
        <v>514381</v>
      </c>
      <c r="S20" s="39" t="s">
        <v>49</v>
      </c>
      <c r="T20" s="36" t="s">
        <v>50</v>
      </c>
      <c r="U20" s="40">
        <v>45910</v>
      </c>
      <c r="V20" s="39" t="s">
        <v>193</v>
      </c>
      <c r="W20" s="39" t="s">
        <v>88</v>
      </c>
      <c r="X20" s="39" t="s">
        <v>194</v>
      </c>
      <c r="Y20" s="39" t="s">
        <v>195</v>
      </c>
      <c r="Z20" s="36" t="s">
        <v>55</v>
      </c>
      <c r="AA20" s="41">
        <v>46199</v>
      </c>
      <c r="AB20" s="39" t="s">
        <v>56</v>
      </c>
      <c r="AC20" s="36" t="s">
        <v>68</v>
      </c>
      <c r="AD20" s="39" t="s">
        <v>69</v>
      </c>
      <c r="AE20" s="39" t="s">
        <v>59</v>
      </c>
      <c r="AF20" s="39" t="s">
        <v>99</v>
      </c>
      <c r="AG20" s="14"/>
      <c r="AH20" s="14"/>
    </row>
    <row r="21" spans="1:34" ht="15" customHeight="1" x14ac:dyDescent="0.2">
      <c r="A21" s="36" t="s">
        <v>196</v>
      </c>
      <c r="B21" s="36" t="s">
        <v>37</v>
      </c>
      <c r="C21" s="36" t="s">
        <v>197</v>
      </c>
      <c r="D21" s="36" t="s">
        <v>39</v>
      </c>
      <c r="E21" s="36" t="s">
        <v>198</v>
      </c>
      <c r="F21" s="37" t="s">
        <v>199</v>
      </c>
      <c r="G21" s="36">
        <f>VLOOKUP(F21,'[1]Saldos de Cartera'!$E$8:$S$343,15,0)</f>
        <v>17318.5</v>
      </c>
      <c r="H21" s="36" t="s">
        <v>42</v>
      </c>
      <c r="I21" s="38">
        <v>45331</v>
      </c>
      <c r="J21" s="44" t="s">
        <v>2280</v>
      </c>
      <c r="K21" s="36" t="s">
        <v>72</v>
      </c>
      <c r="L21" s="36" t="s">
        <v>200</v>
      </c>
      <c r="M21" s="36" t="s">
        <v>45</v>
      </c>
      <c r="N21" s="36" t="s">
        <v>201</v>
      </c>
      <c r="O21" s="36" t="s">
        <v>47</v>
      </c>
      <c r="P21" s="42">
        <v>45329</v>
      </c>
      <c r="Q21" s="36" t="s">
        <v>202</v>
      </c>
      <c r="R21" s="39">
        <v>399269</v>
      </c>
      <c r="S21" s="39" t="s">
        <v>49</v>
      </c>
      <c r="T21" s="36" t="s">
        <v>50</v>
      </c>
      <c r="U21" s="42">
        <v>45537</v>
      </c>
      <c r="V21" s="36" t="s">
        <v>203</v>
      </c>
      <c r="W21" s="39" t="s">
        <v>52</v>
      </c>
      <c r="X21" s="36" t="s">
        <v>204</v>
      </c>
      <c r="Y21" s="39" t="s">
        <v>205</v>
      </c>
      <c r="Z21" s="36" t="s">
        <v>80</v>
      </c>
      <c r="AA21" s="42">
        <v>46197</v>
      </c>
      <c r="AB21" s="39" t="s">
        <v>56</v>
      </c>
      <c r="AC21" s="36" t="s">
        <v>206</v>
      </c>
      <c r="AD21" s="36" t="s">
        <v>82</v>
      </c>
      <c r="AE21" s="39" t="s">
        <v>59</v>
      </c>
      <c r="AF21" s="39" t="s">
        <v>60</v>
      </c>
      <c r="AG21" s="14"/>
      <c r="AH21" s="14"/>
    </row>
    <row r="22" spans="1:34" ht="15" customHeight="1" x14ac:dyDescent="0.2">
      <c r="A22" s="36" t="s">
        <v>196</v>
      </c>
      <c r="B22" s="36" t="s">
        <v>37</v>
      </c>
      <c r="C22" s="36" t="s">
        <v>197</v>
      </c>
      <c r="D22" s="36" t="s">
        <v>39</v>
      </c>
      <c r="E22" s="36" t="s">
        <v>207</v>
      </c>
      <c r="F22" s="37" t="s">
        <v>208</v>
      </c>
      <c r="G22" s="36">
        <f>VLOOKUP(F22,'[1]Saldos de Cartera'!$E$8:$S$343,15,0)</f>
        <v>13300</v>
      </c>
      <c r="H22" s="36" t="s">
        <v>42</v>
      </c>
      <c r="I22" s="38">
        <v>44926</v>
      </c>
      <c r="J22" s="44" t="s">
        <v>2281</v>
      </c>
      <c r="K22" s="36" t="s">
        <v>72</v>
      </c>
      <c r="L22" s="36" t="s">
        <v>209</v>
      </c>
      <c r="M22" s="36" t="s">
        <v>74</v>
      </c>
      <c r="N22" s="36" t="s">
        <v>75</v>
      </c>
      <c r="O22" s="36" t="s">
        <v>96</v>
      </c>
      <c r="P22" s="36"/>
      <c r="Q22" s="36"/>
      <c r="R22" s="39"/>
      <c r="S22" s="36"/>
      <c r="T22" s="36" t="s">
        <v>50</v>
      </c>
      <c r="U22" s="41">
        <v>44925</v>
      </c>
      <c r="V22" s="36" t="s">
        <v>210</v>
      </c>
      <c r="W22" s="39" t="s">
        <v>52</v>
      </c>
      <c r="X22" s="39" t="s">
        <v>96</v>
      </c>
      <c r="Y22" s="39" t="s">
        <v>211</v>
      </c>
      <c r="Z22" s="36" t="s">
        <v>96</v>
      </c>
      <c r="AA22" s="42">
        <v>46197</v>
      </c>
      <c r="AB22" s="39" t="s">
        <v>56</v>
      </c>
      <c r="AC22" s="36" t="s">
        <v>212</v>
      </c>
      <c r="AD22" s="36" t="s">
        <v>82</v>
      </c>
      <c r="AE22" s="39" t="s">
        <v>59</v>
      </c>
      <c r="AF22" s="39" t="s">
        <v>60</v>
      </c>
      <c r="AG22" s="14"/>
      <c r="AH22" s="14"/>
    </row>
    <row r="23" spans="1:34" ht="15" customHeight="1" x14ac:dyDescent="0.2">
      <c r="A23" s="36" t="s">
        <v>196</v>
      </c>
      <c r="B23" s="36" t="s">
        <v>37</v>
      </c>
      <c r="C23" s="36" t="s">
        <v>197</v>
      </c>
      <c r="D23" s="36" t="s">
        <v>39</v>
      </c>
      <c r="E23" s="36" t="s">
        <v>213</v>
      </c>
      <c r="F23" s="37" t="s">
        <v>214</v>
      </c>
      <c r="G23" s="36">
        <f>VLOOKUP(F23,'[1]Saldos de Cartera'!$E$8:$S$343,15,0)</f>
        <v>21500</v>
      </c>
      <c r="H23" s="36" t="s">
        <v>42</v>
      </c>
      <c r="I23" s="38">
        <v>45920</v>
      </c>
      <c r="J23" s="44" t="s">
        <v>2282</v>
      </c>
      <c r="K23" s="36" t="s">
        <v>72</v>
      </c>
      <c r="L23" s="36" t="s">
        <v>215</v>
      </c>
      <c r="M23" s="36" t="s">
        <v>45</v>
      </c>
      <c r="N23" s="36" t="s">
        <v>201</v>
      </c>
      <c r="O23" s="36" t="s">
        <v>96</v>
      </c>
      <c r="P23" s="39"/>
      <c r="Q23" s="39"/>
      <c r="R23" s="39"/>
      <c r="S23" s="36"/>
      <c r="T23" s="36" t="s">
        <v>50</v>
      </c>
      <c r="U23" s="40">
        <v>45916</v>
      </c>
      <c r="V23" s="39" t="s">
        <v>216</v>
      </c>
      <c r="W23" s="39" t="s">
        <v>52</v>
      </c>
      <c r="X23" s="39" t="s">
        <v>96</v>
      </c>
      <c r="Y23" s="39" t="s">
        <v>217</v>
      </c>
      <c r="Z23" s="39" t="s">
        <v>96</v>
      </c>
      <c r="AA23" s="43">
        <v>46198</v>
      </c>
      <c r="AB23" s="39" t="s">
        <v>56</v>
      </c>
      <c r="AC23" s="39" t="s">
        <v>68</v>
      </c>
      <c r="AD23" s="36" t="s">
        <v>82</v>
      </c>
      <c r="AE23" s="39" t="s">
        <v>59</v>
      </c>
      <c r="AF23" s="39" t="s">
        <v>60</v>
      </c>
      <c r="AG23" s="14"/>
      <c r="AH23" s="14"/>
    </row>
    <row r="24" spans="1:34" ht="15" customHeight="1" x14ac:dyDescent="0.2">
      <c r="A24" s="36" t="s">
        <v>196</v>
      </c>
      <c r="B24" s="36" t="s">
        <v>37</v>
      </c>
      <c r="C24" s="36" t="s">
        <v>197</v>
      </c>
      <c r="D24" s="36" t="s">
        <v>39</v>
      </c>
      <c r="E24" s="36" t="s">
        <v>218</v>
      </c>
      <c r="F24" s="37" t="s">
        <v>219</v>
      </c>
      <c r="G24" s="36">
        <f>VLOOKUP(F24,'[1]Saldos de Cartera'!$E$8:$S$343,15,0)</f>
        <v>16854.52</v>
      </c>
      <c r="H24" s="36" t="s">
        <v>42</v>
      </c>
      <c r="I24" s="38">
        <v>45920</v>
      </c>
      <c r="J24" s="44" t="s">
        <v>2283</v>
      </c>
      <c r="K24" s="36" t="s">
        <v>72</v>
      </c>
      <c r="L24" s="36" t="s">
        <v>220</v>
      </c>
      <c r="M24" s="36" t="s">
        <v>45</v>
      </c>
      <c r="N24" s="36" t="s">
        <v>221</v>
      </c>
      <c r="O24" s="36" t="s">
        <v>96</v>
      </c>
      <c r="P24" s="39"/>
      <c r="Q24" s="39"/>
      <c r="R24" s="39"/>
      <c r="S24" s="36"/>
      <c r="T24" s="36" t="s">
        <v>50</v>
      </c>
      <c r="U24" s="40">
        <v>45916</v>
      </c>
      <c r="V24" s="39" t="s">
        <v>222</v>
      </c>
      <c r="W24" s="39" t="s">
        <v>52</v>
      </c>
      <c r="X24" s="39" t="s">
        <v>96</v>
      </c>
      <c r="Y24" s="39" t="s">
        <v>223</v>
      </c>
      <c r="Z24" s="39" t="s">
        <v>96</v>
      </c>
      <c r="AA24" s="43">
        <v>46199</v>
      </c>
      <c r="AB24" s="39" t="s">
        <v>56</v>
      </c>
      <c r="AC24" s="39" t="s">
        <v>68</v>
      </c>
      <c r="AD24" s="36" t="s">
        <v>82</v>
      </c>
      <c r="AE24" s="39" t="s">
        <v>59</v>
      </c>
      <c r="AF24" s="39" t="s">
        <v>60</v>
      </c>
      <c r="AG24" s="14"/>
      <c r="AH24" s="14"/>
    </row>
    <row r="25" spans="1:34" ht="15" customHeight="1" x14ac:dyDescent="0.2">
      <c r="A25" s="36" t="s">
        <v>196</v>
      </c>
      <c r="B25" s="36" t="s">
        <v>37</v>
      </c>
      <c r="C25" s="36" t="s">
        <v>197</v>
      </c>
      <c r="D25" s="36" t="s">
        <v>39</v>
      </c>
      <c r="E25" s="36" t="s">
        <v>224</v>
      </c>
      <c r="F25" s="37" t="s">
        <v>225</v>
      </c>
      <c r="G25" s="36">
        <f>VLOOKUP(F25,'[1]Saldos de Cartera'!$E$8:$S$343,15,0)</f>
        <v>22000</v>
      </c>
      <c r="H25" s="36" t="s">
        <v>42</v>
      </c>
      <c r="I25" s="38">
        <v>45920</v>
      </c>
      <c r="J25" s="44" t="s">
        <v>2284</v>
      </c>
      <c r="K25" s="36" t="s">
        <v>72</v>
      </c>
      <c r="L25" s="36" t="s">
        <v>226</v>
      </c>
      <c r="M25" s="36" t="s">
        <v>45</v>
      </c>
      <c r="N25" s="36" t="s">
        <v>95</v>
      </c>
      <c r="O25" s="36" t="s">
        <v>96</v>
      </c>
      <c r="P25" s="39"/>
      <c r="Q25" s="39"/>
      <c r="R25" s="39"/>
      <c r="S25" s="36"/>
      <c r="T25" s="36" t="s">
        <v>50</v>
      </c>
      <c r="U25" s="40">
        <v>45916</v>
      </c>
      <c r="V25" s="39" t="s">
        <v>227</v>
      </c>
      <c r="W25" s="39" t="s">
        <v>52</v>
      </c>
      <c r="X25" s="39" t="s">
        <v>96</v>
      </c>
      <c r="Y25" s="39" t="s">
        <v>228</v>
      </c>
      <c r="Z25" s="39" t="s">
        <v>96</v>
      </c>
      <c r="AA25" s="43">
        <v>46197</v>
      </c>
      <c r="AB25" s="39" t="s">
        <v>56</v>
      </c>
      <c r="AC25" s="39" t="s">
        <v>68</v>
      </c>
      <c r="AD25" s="36" t="s">
        <v>82</v>
      </c>
      <c r="AE25" s="39" t="s">
        <v>59</v>
      </c>
      <c r="AF25" s="39" t="s">
        <v>60</v>
      </c>
      <c r="AG25" s="14"/>
      <c r="AH25" s="14"/>
    </row>
    <row r="26" spans="1:34" ht="15" customHeight="1" x14ac:dyDescent="0.2">
      <c r="A26" s="36" t="s">
        <v>196</v>
      </c>
      <c r="B26" s="36" t="s">
        <v>37</v>
      </c>
      <c r="C26" s="36" t="s">
        <v>197</v>
      </c>
      <c r="D26" s="36" t="s">
        <v>39</v>
      </c>
      <c r="E26" s="36" t="s">
        <v>229</v>
      </c>
      <c r="F26" s="37" t="s">
        <v>230</v>
      </c>
      <c r="G26" s="36">
        <f>VLOOKUP(F26,'[1]Saldos de Cartera'!$E$8:$S$343,15,0)</f>
        <v>11491</v>
      </c>
      <c r="H26" s="36" t="s">
        <v>42</v>
      </c>
      <c r="I26" s="38">
        <v>45426</v>
      </c>
      <c r="J26" s="44" t="s">
        <v>2285</v>
      </c>
      <c r="K26" s="36" t="s">
        <v>72</v>
      </c>
      <c r="L26" s="36" t="s">
        <v>231</v>
      </c>
      <c r="M26" s="36" t="s">
        <v>45</v>
      </c>
      <c r="N26" s="36" t="s">
        <v>221</v>
      </c>
      <c r="O26" s="36" t="s">
        <v>96</v>
      </c>
      <c r="P26" s="36"/>
      <c r="Q26" s="36"/>
      <c r="R26" s="39"/>
      <c r="S26" s="36"/>
      <c r="T26" s="36" t="s">
        <v>50</v>
      </c>
      <c r="U26" s="40">
        <v>45422</v>
      </c>
      <c r="V26" s="36" t="s">
        <v>232</v>
      </c>
      <c r="W26" s="39" t="s">
        <v>52</v>
      </c>
      <c r="X26" s="39" t="s">
        <v>96</v>
      </c>
      <c r="Y26" s="39" t="s">
        <v>233</v>
      </c>
      <c r="Z26" s="36" t="s">
        <v>96</v>
      </c>
      <c r="AA26" s="42">
        <v>46197</v>
      </c>
      <c r="AB26" s="39" t="s">
        <v>56</v>
      </c>
      <c r="AC26" s="36" t="s">
        <v>90</v>
      </c>
      <c r="AD26" s="36" t="s">
        <v>69</v>
      </c>
      <c r="AE26" s="39" t="s">
        <v>59</v>
      </c>
      <c r="AF26" s="39" t="s">
        <v>99</v>
      </c>
      <c r="AG26" s="14"/>
      <c r="AH26" s="14"/>
    </row>
    <row r="27" spans="1:34" ht="15" customHeight="1" x14ac:dyDescent="0.2">
      <c r="A27" s="36" t="s">
        <v>196</v>
      </c>
      <c r="B27" s="36" t="s">
        <v>37</v>
      </c>
      <c r="C27" s="36" t="s">
        <v>197</v>
      </c>
      <c r="D27" s="36" t="s">
        <v>39</v>
      </c>
      <c r="E27" s="36" t="s">
        <v>234</v>
      </c>
      <c r="F27" s="37" t="s">
        <v>235</v>
      </c>
      <c r="G27" s="36">
        <f>VLOOKUP(F27,'[1]Saldos de Cartera'!$E$8:$S$343,15,0)</f>
        <v>49500</v>
      </c>
      <c r="H27" s="36" t="s">
        <v>42</v>
      </c>
      <c r="I27" s="38">
        <v>45920</v>
      </c>
      <c r="J27" s="44" t="s">
        <v>2286</v>
      </c>
      <c r="K27" s="36" t="s">
        <v>72</v>
      </c>
      <c r="L27" s="36" t="s">
        <v>236</v>
      </c>
      <c r="M27" s="36" t="s">
        <v>45</v>
      </c>
      <c r="N27" s="36" t="s">
        <v>237</v>
      </c>
      <c r="O27" s="36" t="s">
        <v>96</v>
      </c>
      <c r="P27" s="39"/>
      <c r="Q27" s="39"/>
      <c r="R27" s="39"/>
      <c r="S27" s="36"/>
      <c r="T27" s="36" t="s">
        <v>50</v>
      </c>
      <c r="U27" s="40">
        <v>45917</v>
      </c>
      <c r="V27" s="39" t="s">
        <v>238</v>
      </c>
      <c r="W27" s="39" t="s">
        <v>52</v>
      </c>
      <c r="X27" s="39" t="s">
        <v>96</v>
      </c>
      <c r="Y27" s="39" t="s">
        <v>239</v>
      </c>
      <c r="Z27" s="39" t="s">
        <v>96</v>
      </c>
      <c r="AA27" s="43">
        <v>46198</v>
      </c>
      <c r="AB27" s="39" t="s">
        <v>56</v>
      </c>
      <c r="AC27" s="39" t="s">
        <v>68</v>
      </c>
      <c r="AD27" s="36" t="s">
        <v>82</v>
      </c>
      <c r="AE27" s="39" t="s">
        <v>59</v>
      </c>
      <c r="AF27" s="39" t="s">
        <v>60</v>
      </c>
      <c r="AG27" s="14"/>
      <c r="AH27" s="14"/>
    </row>
    <row r="28" spans="1:34" ht="15" customHeight="1" x14ac:dyDescent="0.2">
      <c r="A28" s="36" t="s">
        <v>196</v>
      </c>
      <c r="B28" s="36" t="s">
        <v>37</v>
      </c>
      <c r="C28" s="36" t="s">
        <v>197</v>
      </c>
      <c r="D28" s="36" t="s">
        <v>39</v>
      </c>
      <c r="E28" s="36" t="s">
        <v>240</v>
      </c>
      <c r="F28" s="37" t="s">
        <v>241</v>
      </c>
      <c r="G28" s="36">
        <f>VLOOKUP(F28,'[1]Saldos de Cartera'!$E$8:$S$343,15,0)</f>
        <v>27833.71</v>
      </c>
      <c r="H28" s="36" t="s">
        <v>42</v>
      </c>
      <c r="I28" s="38">
        <v>44917</v>
      </c>
      <c r="J28" s="44" t="s">
        <v>2287</v>
      </c>
      <c r="K28" s="36" t="s">
        <v>72</v>
      </c>
      <c r="L28" s="36" t="s">
        <v>242</v>
      </c>
      <c r="M28" s="36" t="s">
        <v>45</v>
      </c>
      <c r="N28" s="36" t="s">
        <v>243</v>
      </c>
      <c r="O28" s="36" t="s">
        <v>47</v>
      </c>
      <c r="P28" s="41">
        <v>44910</v>
      </c>
      <c r="Q28" s="36" t="s">
        <v>244</v>
      </c>
      <c r="R28" s="39">
        <v>444058</v>
      </c>
      <c r="S28" s="39" t="s">
        <v>49</v>
      </c>
      <c r="T28" s="36" t="s">
        <v>50</v>
      </c>
      <c r="U28" s="42">
        <v>45012</v>
      </c>
      <c r="V28" s="36" t="s">
        <v>245</v>
      </c>
      <c r="W28" s="39" t="s">
        <v>246</v>
      </c>
      <c r="X28" s="36" t="s">
        <v>247</v>
      </c>
      <c r="Y28" s="39" t="s">
        <v>248</v>
      </c>
      <c r="Z28" s="36" t="s">
        <v>249</v>
      </c>
      <c r="AA28" s="41">
        <v>46199</v>
      </c>
      <c r="AB28" s="39" t="s">
        <v>56</v>
      </c>
      <c r="AC28" s="36" t="s">
        <v>250</v>
      </c>
      <c r="AD28" s="36" t="s">
        <v>69</v>
      </c>
      <c r="AE28" s="39" t="s">
        <v>59</v>
      </c>
      <c r="AF28" s="39" t="s">
        <v>60</v>
      </c>
      <c r="AG28" s="14"/>
      <c r="AH28" s="14"/>
    </row>
    <row r="29" spans="1:34" ht="15" customHeight="1" x14ac:dyDescent="0.2">
      <c r="A29" s="36" t="s">
        <v>196</v>
      </c>
      <c r="B29" s="36" t="s">
        <v>37</v>
      </c>
      <c r="C29" s="36" t="s">
        <v>197</v>
      </c>
      <c r="D29" s="36" t="s">
        <v>39</v>
      </c>
      <c r="E29" s="36" t="s">
        <v>251</v>
      </c>
      <c r="F29" s="37" t="s">
        <v>252</v>
      </c>
      <c r="G29" s="36">
        <f>VLOOKUP(F29,'[1]Saldos de Cartera'!$E$8:$S$343,15,0)</f>
        <v>50000</v>
      </c>
      <c r="H29" s="36" t="s">
        <v>42</v>
      </c>
      <c r="I29" s="38">
        <v>45920</v>
      </c>
      <c r="J29" s="44" t="s">
        <v>2288</v>
      </c>
      <c r="K29" s="36" t="s">
        <v>72</v>
      </c>
      <c r="L29" s="36" t="s">
        <v>253</v>
      </c>
      <c r="M29" s="36" t="s">
        <v>45</v>
      </c>
      <c r="N29" s="36" t="s">
        <v>191</v>
      </c>
      <c r="O29" s="36" t="s">
        <v>96</v>
      </c>
      <c r="P29" s="39"/>
      <c r="Q29" s="39"/>
      <c r="R29" s="39"/>
      <c r="S29" s="36"/>
      <c r="T29" s="36" t="s">
        <v>50</v>
      </c>
      <c r="U29" s="40">
        <v>45917</v>
      </c>
      <c r="V29" s="39" t="s">
        <v>254</v>
      </c>
      <c r="W29" s="39" t="s">
        <v>88</v>
      </c>
      <c r="X29" s="39" t="s">
        <v>96</v>
      </c>
      <c r="Y29" s="39" t="s">
        <v>255</v>
      </c>
      <c r="Z29" s="39" t="s">
        <v>96</v>
      </c>
      <c r="AA29" s="43">
        <v>46199</v>
      </c>
      <c r="AB29" s="39" t="s">
        <v>56</v>
      </c>
      <c r="AC29" s="39" t="s">
        <v>68</v>
      </c>
      <c r="AD29" s="36" t="s">
        <v>82</v>
      </c>
      <c r="AE29" s="39" t="s">
        <v>59</v>
      </c>
      <c r="AF29" s="39" t="s">
        <v>60</v>
      </c>
      <c r="AG29" s="14"/>
      <c r="AH29" s="14"/>
    </row>
    <row r="30" spans="1:34" ht="15" customHeight="1" x14ac:dyDescent="0.2">
      <c r="A30" s="36" t="s">
        <v>196</v>
      </c>
      <c r="B30" s="36" t="s">
        <v>37</v>
      </c>
      <c r="C30" s="36" t="s">
        <v>197</v>
      </c>
      <c r="D30" s="36" t="s">
        <v>39</v>
      </c>
      <c r="E30" s="36" t="s">
        <v>256</v>
      </c>
      <c r="F30" s="37" t="s">
        <v>257</v>
      </c>
      <c r="G30" s="36">
        <f>VLOOKUP(F30,'[1]Saldos de Cartera'!$E$8:$S$343,15,0)</f>
        <v>34907.26</v>
      </c>
      <c r="H30" s="36" t="s">
        <v>42</v>
      </c>
      <c r="I30" s="38">
        <v>45895</v>
      </c>
      <c r="J30" s="44" t="s">
        <v>2289</v>
      </c>
      <c r="K30" s="36" t="s">
        <v>43</v>
      </c>
      <c r="L30" s="36" t="s">
        <v>258</v>
      </c>
      <c r="M30" s="36" t="s">
        <v>45</v>
      </c>
      <c r="N30" s="36" t="s">
        <v>118</v>
      </c>
      <c r="O30" s="36" t="s">
        <v>47</v>
      </c>
      <c r="P30" s="40">
        <v>45895</v>
      </c>
      <c r="Q30" s="39" t="s">
        <v>259</v>
      </c>
      <c r="R30" s="39">
        <v>761252</v>
      </c>
      <c r="S30" s="39" t="s">
        <v>49</v>
      </c>
      <c r="T30" s="36" t="s">
        <v>50</v>
      </c>
      <c r="U30" s="40">
        <v>45995</v>
      </c>
      <c r="V30" s="39" t="s">
        <v>260</v>
      </c>
      <c r="W30" s="39" t="s">
        <v>88</v>
      </c>
      <c r="X30" s="39" t="s">
        <v>261</v>
      </c>
      <c r="Y30" s="39" t="s">
        <v>262</v>
      </c>
      <c r="Z30" s="36" t="s">
        <v>55</v>
      </c>
      <c r="AA30" s="43">
        <v>46188</v>
      </c>
      <c r="AB30" s="39" t="s">
        <v>56</v>
      </c>
      <c r="AC30" s="36" t="s">
        <v>68</v>
      </c>
      <c r="AD30" s="39" t="s">
        <v>69</v>
      </c>
      <c r="AE30" s="39" t="s">
        <v>59</v>
      </c>
      <c r="AF30" s="39" t="s">
        <v>99</v>
      </c>
      <c r="AG30" s="14"/>
      <c r="AH30" s="14"/>
    </row>
    <row r="31" spans="1:34" ht="15" customHeight="1" x14ac:dyDescent="0.2">
      <c r="A31" s="36" t="s">
        <v>196</v>
      </c>
      <c r="B31" s="36" t="s">
        <v>37</v>
      </c>
      <c r="C31" s="36" t="s">
        <v>197</v>
      </c>
      <c r="D31" s="36" t="s">
        <v>39</v>
      </c>
      <c r="E31" s="36" t="s">
        <v>263</v>
      </c>
      <c r="F31" s="37" t="s">
        <v>264</v>
      </c>
      <c r="G31" s="36">
        <f>VLOOKUP(F31,'[1]Saldos de Cartera'!$E$8:$S$343,15,0)</f>
        <v>20000</v>
      </c>
      <c r="H31" s="36" t="s">
        <v>42</v>
      </c>
      <c r="I31" s="38">
        <v>45920</v>
      </c>
      <c r="J31" s="44" t="s">
        <v>2290</v>
      </c>
      <c r="K31" s="36" t="s">
        <v>72</v>
      </c>
      <c r="L31" s="36" t="s">
        <v>265</v>
      </c>
      <c r="M31" s="36" t="s">
        <v>45</v>
      </c>
      <c r="N31" s="36" t="s">
        <v>221</v>
      </c>
      <c r="O31" s="36" t="s">
        <v>96</v>
      </c>
      <c r="P31" s="39"/>
      <c r="Q31" s="39"/>
      <c r="R31" s="39"/>
      <c r="S31" s="36"/>
      <c r="T31" s="36" t="s">
        <v>50</v>
      </c>
      <c r="U31" s="40">
        <v>45916</v>
      </c>
      <c r="V31" s="39" t="s">
        <v>266</v>
      </c>
      <c r="W31" s="39" t="s">
        <v>88</v>
      </c>
      <c r="X31" s="39" t="s">
        <v>96</v>
      </c>
      <c r="Y31" s="39" t="s">
        <v>267</v>
      </c>
      <c r="Z31" s="39" t="s">
        <v>96</v>
      </c>
      <c r="AA31" s="43">
        <v>46199</v>
      </c>
      <c r="AB31" s="39" t="s">
        <v>56</v>
      </c>
      <c r="AC31" s="39" t="s">
        <v>68</v>
      </c>
      <c r="AD31" s="36" t="s">
        <v>82</v>
      </c>
      <c r="AE31" s="39" t="s">
        <v>59</v>
      </c>
      <c r="AF31" s="39" t="s">
        <v>60</v>
      </c>
      <c r="AG31" s="14"/>
      <c r="AH31" s="14"/>
    </row>
    <row r="32" spans="1:34" ht="15" customHeight="1" x14ac:dyDescent="0.2">
      <c r="A32" s="36" t="s">
        <v>196</v>
      </c>
      <c r="B32" s="36" t="s">
        <v>37</v>
      </c>
      <c r="C32" s="36" t="s">
        <v>197</v>
      </c>
      <c r="D32" s="36" t="s">
        <v>39</v>
      </c>
      <c r="E32" s="36" t="s">
        <v>268</v>
      </c>
      <c r="F32" s="37" t="s">
        <v>269</v>
      </c>
      <c r="G32" s="36">
        <f>VLOOKUP(F32,'[1]Saldos de Cartera'!$E$8:$S$343,15,0)</f>
        <v>15359.45</v>
      </c>
      <c r="H32" s="36" t="s">
        <v>42</v>
      </c>
      <c r="I32" s="38">
        <v>45626</v>
      </c>
      <c r="J32" s="44" t="s">
        <v>2291</v>
      </c>
      <c r="K32" s="36" t="s">
        <v>43</v>
      </c>
      <c r="L32" s="36" t="s">
        <v>270</v>
      </c>
      <c r="M32" s="36" t="s">
        <v>45</v>
      </c>
      <c r="N32" s="36" t="s">
        <v>46</v>
      </c>
      <c r="O32" s="36" t="s">
        <v>47</v>
      </c>
      <c r="P32" s="41">
        <v>45618</v>
      </c>
      <c r="Q32" s="36" t="s">
        <v>271</v>
      </c>
      <c r="R32" s="39"/>
      <c r="S32" s="39" t="s">
        <v>49</v>
      </c>
      <c r="T32" s="36" t="s">
        <v>50</v>
      </c>
      <c r="U32" s="42">
        <v>45665</v>
      </c>
      <c r="V32" s="36" t="s">
        <v>272</v>
      </c>
      <c r="W32" s="39" t="s">
        <v>88</v>
      </c>
      <c r="X32" s="36" t="s">
        <v>273</v>
      </c>
      <c r="Y32" s="39" t="s">
        <v>274</v>
      </c>
      <c r="Z32" s="36" t="s">
        <v>80</v>
      </c>
      <c r="AA32" s="42">
        <v>46199</v>
      </c>
      <c r="AB32" s="39" t="s">
        <v>56</v>
      </c>
      <c r="AC32" s="36" t="s">
        <v>90</v>
      </c>
      <c r="AD32" s="36" t="s">
        <v>69</v>
      </c>
      <c r="AE32" s="39" t="s">
        <v>91</v>
      </c>
      <c r="AF32" s="39" t="s">
        <v>99</v>
      </c>
      <c r="AG32" s="14"/>
      <c r="AH32" s="14"/>
    </row>
    <row r="33" spans="1:34" ht="15" customHeight="1" x14ac:dyDescent="0.2">
      <c r="A33" s="36" t="s">
        <v>196</v>
      </c>
      <c r="B33" s="36" t="s">
        <v>37</v>
      </c>
      <c r="C33" s="36" t="s">
        <v>197</v>
      </c>
      <c r="D33" s="36" t="s">
        <v>39</v>
      </c>
      <c r="E33" s="36" t="s">
        <v>275</v>
      </c>
      <c r="F33" s="37" t="s">
        <v>276</v>
      </c>
      <c r="G33" s="36">
        <f>VLOOKUP(F33,'[1]Saldos de Cartera'!$E$8:$S$343,15,0)</f>
        <v>45000</v>
      </c>
      <c r="H33" s="36" t="s">
        <v>42</v>
      </c>
      <c r="I33" s="38">
        <v>45920</v>
      </c>
      <c r="J33" s="44" t="s">
        <v>2292</v>
      </c>
      <c r="K33" s="36" t="s">
        <v>72</v>
      </c>
      <c r="L33" s="36" t="s">
        <v>277</v>
      </c>
      <c r="M33" s="36" t="s">
        <v>45</v>
      </c>
      <c r="N33" s="36" t="s">
        <v>278</v>
      </c>
      <c r="O33" s="36" t="s">
        <v>96</v>
      </c>
      <c r="P33" s="39"/>
      <c r="Q33" s="39"/>
      <c r="R33" s="39"/>
      <c r="S33" s="36"/>
      <c r="T33" s="36" t="s">
        <v>50</v>
      </c>
      <c r="U33" s="40">
        <v>45917</v>
      </c>
      <c r="V33" s="39" t="s">
        <v>279</v>
      </c>
      <c r="W33" s="39" t="s">
        <v>52</v>
      </c>
      <c r="X33" s="39" t="s">
        <v>96</v>
      </c>
      <c r="Y33" s="39" t="s">
        <v>280</v>
      </c>
      <c r="Z33" s="39" t="s">
        <v>96</v>
      </c>
      <c r="AA33" s="43">
        <v>46199</v>
      </c>
      <c r="AB33" s="39" t="s">
        <v>56</v>
      </c>
      <c r="AC33" s="39" t="s">
        <v>68</v>
      </c>
      <c r="AD33" s="36" t="s">
        <v>82</v>
      </c>
      <c r="AE33" s="39" t="s">
        <v>59</v>
      </c>
      <c r="AF33" s="39" t="s">
        <v>60</v>
      </c>
      <c r="AG33" s="14"/>
      <c r="AH33" s="14"/>
    </row>
    <row r="34" spans="1:34" ht="15" customHeight="1" x14ac:dyDescent="0.2">
      <c r="A34" s="36" t="s">
        <v>196</v>
      </c>
      <c r="B34" s="36" t="s">
        <v>37</v>
      </c>
      <c r="C34" s="36" t="s">
        <v>197</v>
      </c>
      <c r="D34" s="36" t="s">
        <v>39</v>
      </c>
      <c r="E34" s="36" t="s">
        <v>281</v>
      </c>
      <c r="F34" s="37" t="s">
        <v>282</v>
      </c>
      <c r="G34" s="36">
        <f>VLOOKUP(F34,'[1]Saldos de Cartera'!$E$8:$S$343,15,0)</f>
        <v>18868.82</v>
      </c>
      <c r="H34" s="36" t="s">
        <v>42</v>
      </c>
      <c r="I34" s="38">
        <v>45601</v>
      </c>
      <c r="J34" s="44" t="s">
        <v>2293</v>
      </c>
      <c r="K34" s="36" t="s">
        <v>43</v>
      </c>
      <c r="L34" s="36" t="s">
        <v>283</v>
      </c>
      <c r="M34" s="36" t="s">
        <v>45</v>
      </c>
      <c r="N34" s="36" t="s">
        <v>118</v>
      </c>
      <c r="O34" s="36" t="s">
        <v>47</v>
      </c>
      <c r="P34" s="42">
        <v>45601</v>
      </c>
      <c r="Q34" s="36" t="s">
        <v>284</v>
      </c>
      <c r="R34" s="39">
        <v>240343</v>
      </c>
      <c r="S34" s="39" t="s">
        <v>49</v>
      </c>
      <c r="T34" s="36" t="s">
        <v>50</v>
      </c>
      <c r="U34" s="41">
        <v>45644</v>
      </c>
      <c r="V34" s="36" t="s">
        <v>285</v>
      </c>
      <c r="W34" s="39" t="s">
        <v>52</v>
      </c>
      <c r="X34" s="36" t="s">
        <v>286</v>
      </c>
      <c r="Y34" s="39" t="s">
        <v>287</v>
      </c>
      <c r="Z34" s="36" t="s">
        <v>55</v>
      </c>
      <c r="AA34" s="41">
        <v>46199</v>
      </c>
      <c r="AB34" s="39" t="s">
        <v>56</v>
      </c>
      <c r="AC34" s="36" t="s">
        <v>288</v>
      </c>
      <c r="AD34" s="36" t="s">
        <v>58</v>
      </c>
      <c r="AE34" s="39" t="s">
        <v>59</v>
      </c>
      <c r="AF34" s="39" t="s">
        <v>60</v>
      </c>
      <c r="AG34" s="14"/>
      <c r="AH34" s="14"/>
    </row>
    <row r="35" spans="1:34" ht="15" customHeight="1" x14ac:dyDescent="0.2">
      <c r="A35" s="36" t="s">
        <v>196</v>
      </c>
      <c r="B35" s="36" t="s">
        <v>37</v>
      </c>
      <c r="C35" s="36" t="s">
        <v>197</v>
      </c>
      <c r="D35" s="36" t="s">
        <v>39</v>
      </c>
      <c r="E35" s="36" t="s">
        <v>289</v>
      </c>
      <c r="F35" s="37" t="s">
        <v>290</v>
      </c>
      <c r="G35" s="36">
        <f>VLOOKUP(F35,'[1]Saldos de Cartera'!$E$8:$S$343,15,0)</f>
        <v>11401.55</v>
      </c>
      <c r="H35" s="36" t="s">
        <v>42</v>
      </c>
      <c r="I35" s="38">
        <v>45580</v>
      </c>
      <c r="J35" s="44" t="s">
        <v>2294</v>
      </c>
      <c r="K35" s="36" t="s">
        <v>43</v>
      </c>
      <c r="L35" s="36" t="s">
        <v>291</v>
      </c>
      <c r="M35" s="36" t="s">
        <v>45</v>
      </c>
      <c r="N35" s="36" t="s">
        <v>46</v>
      </c>
      <c r="O35" s="36" t="s">
        <v>47</v>
      </c>
      <c r="P35" s="41">
        <v>45610</v>
      </c>
      <c r="Q35" s="36" t="s">
        <v>292</v>
      </c>
      <c r="R35" s="39">
        <v>796425</v>
      </c>
      <c r="S35" s="39" t="s">
        <v>49</v>
      </c>
      <c r="T35" s="36" t="s">
        <v>50</v>
      </c>
      <c r="U35" s="42">
        <v>45665</v>
      </c>
      <c r="V35" s="36" t="s">
        <v>293</v>
      </c>
      <c r="W35" s="39" t="s">
        <v>246</v>
      </c>
      <c r="X35" s="36" t="s">
        <v>294</v>
      </c>
      <c r="Y35" s="39" t="s">
        <v>295</v>
      </c>
      <c r="Z35" s="36" t="s">
        <v>55</v>
      </c>
      <c r="AA35" s="42">
        <v>46199</v>
      </c>
      <c r="AB35" s="39" t="s">
        <v>56</v>
      </c>
      <c r="AC35" s="36" t="s">
        <v>288</v>
      </c>
      <c r="AD35" s="36" t="s">
        <v>69</v>
      </c>
      <c r="AE35" s="39" t="s">
        <v>59</v>
      </c>
      <c r="AF35" s="39" t="s">
        <v>60</v>
      </c>
      <c r="AG35" s="14"/>
      <c r="AH35" s="14"/>
    </row>
    <row r="36" spans="1:34" ht="15" customHeight="1" x14ac:dyDescent="0.2">
      <c r="A36" s="36" t="s">
        <v>196</v>
      </c>
      <c r="B36" s="36" t="s">
        <v>37</v>
      </c>
      <c r="C36" s="36" t="s">
        <v>197</v>
      </c>
      <c r="D36" s="36" t="s">
        <v>39</v>
      </c>
      <c r="E36" s="36" t="s">
        <v>296</v>
      </c>
      <c r="F36" s="37" t="s">
        <v>297</v>
      </c>
      <c r="G36" s="36">
        <f>VLOOKUP(F36,'[1]Saldos de Cartera'!$E$8:$S$343,15,0)</f>
        <v>0</v>
      </c>
      <c r="H36" s="36" t="s">
        <v>42</v>
      </c>
      <c r="I36" s="38">
        <v>45070</v>
      </c>
      <c r="J36" s="44" t="s">
        <v>2295</v>
      </c>
      <c r="K36" s="36" t="s">
        <v>43</v>
      </c>
      <c r="L36" s="36" t="s">
        <v>298</v>
      </c>
      <c r="M36" s="36" t="s">
        <v>45</v>
      </c>
      <c r="N36" s="36" t="s">
        <v>299</v>
      </c>
      <c r="O36" s="36" t="s">
        <v>47</v>
      </c>
      <c r="P36" s="42">
        <v>45068</v>
      </c>
      <c r="Q36" s="36" t="s">
        <v>300</v>
      </c>
      <c r="R36" s="39" t="s">
        <v>301</v>
      </c>
      <c r="S36" s="39" t="s">
        <v>49</v>
      </c>
      <c r="T36" s="36" t="s">
        <v>50</v>
      </c>
      <c r="U36" s="42">
        <v>45145</v>
      </c>
      <c r="V36" s="36" t="s">
        <v>302</v>
      </c>
      <c r="W36" s="39" t="s">
        <v>52</v>
      </c>
      <c r="X36" s="36" t="s">
        <v>303</v>
      </c>
      <c r="Y36" s="39" t="s">
        <v>304</v>
      </c>
      <c r="Z36" s="36" t="s">
        <v>249</v>
      </c>
      <c r="AA36" s="41">
        <v>46199</v>
      </c>
      <c r="AB36" s="39" t="s">
        <v>56</v>
      </c>
      <c r="AC36" s="36" t="s">
        <v>90</v>
      </c>
      <c r="AD36" s="36" t="s">
        <v>69</v>
      </c>
      <c r="AE36" s="39" t="s">
        <v>91</v>
      </c>
      <c r="AF36" s="39" t="s">
        <v>99</v>
      </c>
      <c r="AG36" s="14"/>
      <c r="AH36" s="14"/>
    </row>
    <row r="37" spans="1:34" ht="15" customHeight="1" x14ac:dyDescent="0.2">
      <c r="A37" s="36" t="s">
        <v>196</v>
      </c>
      <c r="B37" s="36" t="s">
        <v>37</v>
      </c>
      <c r="C37" s="36" t="s">
        <v>197</v>
      </c>
      <c r="D37" s="36" t="s">
        <v>39</v>
      </c>
      <c r="E37" s="36" t="s">
        <v>305</v>
      </c>
      <c r="F37" s="37" t="s">
        <v>306</v>
      </c>
      <c r="G37" s="36">
        <f>VLOOKUP(F37,'[1]Saldos de Cartera'!$E$8:$S$343,15,0)</f>
        <v>25944.11</v>
      </c>
      <c r="H37" s="36" t="s">
        <v>42</v>
      </c>
      <c r="I37" s="38">
        <v>45787</v>
      </c>
      <c r="J37" s="44" t="s">
        <v>2296</v>
      </c>
      <c r="K37" s="36" t="s">
        <v>43</v>
      </c>
      <c r="L37" s="36" t="s">
        <v>307</v>
      </c>
      <c r="M37" s="36" t="s">
        <v>45</v>
      </c>
      <c r="N37" s="36" t="s">
        <v>118</v>
      </c>
      <c r="O37" s="36" t="s">
        <v>47</v>
      </c>
      <c r="P37" s="42">
        <v>45601</v>
      </c>
      <c r="Q37" s="36" t="s">
        <v>308</v>
      </c>
      <c r="R37" s="39">
        <v>352677</v>
      </c>
      <c r="S37" s="39" t="s">
        <v>49</v>
      </c>
      <c r="T37" s="36" t="s">
        <v>50</v>
      </c>
      <c r="U37" s="41">
        <v>45652</v>
      </c>
      <c r="V37" s="36" t="s">
        <v>309</v>
      </c>
      <c r="W37" s="39" t="s">
        <v>88</v>
      </c>
      <c r="X37" s="36" t="s">
        <v>310</v>
      </c>
      <c r="Y37" s="39" t="s">
        <v>311</v>
      </c>
      <c r="Z37" s="36" t="s">
        <v>122</v>
      </c>
      <c r="AA37" s="42">
        <v>46197</v>
      </c>
      <c r="AB37" s="39" t="s">
        <v>56</v>
      </c>
      <c r="AC37" s="36" t="s">
        <v>90</v>
      </c>
      <c r="AD37" s="36" t="s">
        <v>58</v>
      </c>
      <c r="AE37" s="39" t="s">
        <v>91</v>
      </c>
      <c r="AF37" s="39" t="s">
        <v>99</v>
      </c>
      <c r="AG37" s="14"/>
      <c r="AH37" s="14"/>
    </row>
    <row r="38" spans="1:34" ht="15" customHeight="1" x14ac:dyDescent="0.2">
      <c r="A38" s="36" t="s">
        <v>196</v>
      </c>
      <c r="B38" s="36" t="s">
        <v>37</v>
      </c>
      <c r="C38" s="36" t="s">
        <v>197</v>
      </c>
      <c r="D38" s="36" t="s">
        <v>39</v>
      </c>
      <c r="E38" s="36" t="s">
        <v>305</v>
      </c>
      <c r="F38" s="37" t="s">
        <v>312</v>
      </c>
      <c r="G38" s="36">
        <f>VLOOKUP(F38,'[1]Saldos de Cartera'!$E$8:$S$343,15,0)</f>
        <v>8533.92</v>
      </c>
      <c r="H38" s="36" t="s">
        <v>42</v>
      </c>
      <c r="I38" s="38">
        <v>45603</v>
      </c>
      <c r="J38" s="44" t="s">
        <v>2296</v>
      </c>
      <c r="K38" s="36" t="s">
        <v>43</v>
      </c>
      <c r="L38" s="36" t="s">
        <v>307</v>
      </c>
      <c r="M38" s="36" t="s">
        <v>45</v>
      </c>
      <c r="N38" s="36" t="s">
        <v>118</v>
      </c>
      <c r="O38" s="36" t="s">
        <v>47</v>
      </c>
      <c r="P38" s="42">
        <v>45601</v>
      </c>
      <c r="Q38" s="36" t="s">
        <v>308</v>
      </c>
      <c r="R38" s="39">
        <v>352677</v>
      </c>
      <c r="S38" s="39" t="s">
        <v>49</v>
      </c>
      <c r="T38" s="36" t="s">
        <v>50</v>
      </c>
      <c r="U38" s="41">
        <v>45652</v>
      </c>
      <c r="V38" s="36" t="s">
        <v>309</v>
      </c>
      <c r="W38" s="39" t="s">
        <v>88</v>
      </c>
      <c r="X38" s="36" t="s">
        <v>310</v>
      </c>
      <c r="Y38" s="39" t="s">
        <v>313</v>
      </c>
      <c r="Z38" s="36" t="s">
        <v>122</v>
      </c>
      <c r="AA38" s="42">
        <v>46199</v>
      </c>
      <c r="AB38" s="39" t="s">
        <v>56</v>
      </c>
      <c r="AC38" s="36" t="s">
        <v>90</v>
      </c>
      <c r="AD38" s="36" t="s">
        <v>58</v>
      </c>
      <c r="AE38" s="39" t="s">
        <v>91</v>
      </c>
      <c r="AF38" s="39" t="s">
        <v>99</v>
      </c>
      <c r="AG38" s="14"/>
      <c r="AH38" s="14"/>
    </row>
    <row r="39" spans="1:34" ht="15" customHeight="1" x14ac:dyDescent="0.2">
      <c r="A39" s="36" t="s">
        <v>196</v>
      </c>
      <c r="B39" s="36" t="s">
        <v>37</v>
      </c>
      <c r="C39" s="36" t="s">
        <v>197</v>
      </c>
      <c r="D39" s="36" t="s">
        <v>39</v>
      </c>
      <c r="E39" s="36" t="s">
        <v>314</v>
      </c>
      <c r="F39" s="37" t="s">
        <v>315</v>
      </c>
      <c r="G39" s="36">
        <f>VLOOKUP(F39,'[1]Saldos de Cartera'!$E$8:$S$343,15,0)</f>
        <v>20193.79</v>
      </c>
      <c r="H39" s="36" t="s">
        <v>42</v>
      </c>
      <c r="I39" s="38">
        <v>45169</v>
      </c>
      <c r="J39" s="44" t="s">
        <v>2297</v>
      </c>
      <c r="K39" s="36" t="s">
        <v>43</v>
      </c>
      <c r="L39" s="36" t="s">
        <v>316</v>
      </c>
      <c r="M39" s="36" t="s">
        <v>45</v>
      </c>
      <c r="N39" s="36" t="s">
        <v>201</v>
      </c>
      <c r="O39" s="36" t="s">
        <v>47</v>
      </c>
      <c r="P39" s="42">
        <v>45161</v>
      </c>
      <c r="Q39" s="36" t="s">
        <v>317</v>
      </c>
      <c r="R39" s="39" t="s">
        <v>318</v>
      </c>
      <c r="S39" s="39" t="s">
        <v>49</v>
      </c>
      <c r="T39" s="36" t="s">
        <v>50</v>
      </c>
      <c r="U39" s="42">
        <v>45309</v>
      </c>
      <c r="V39" s="36" t="s">
        <v>319</v>
      </c>
      <c r="W39" s="39" t="s">
        <v>52</v>
      </c>
      <c r="X39" s="36" t="s">
        <v>320</v>
      </c>
      <c r="Y39" s="39" t="s">
        <v>321</v>
      </c>
      <c r="Z39" s="36" t="s">
        <v>80</v>
      </c>
      <c r="AA39" s="42">
        <v>46197</v>
      </c>
      <c r="AB39" s="39" t="s">
        <v>56</v>
      </c>
      <c r="AC39" s="36" t="s">
        <v>90</v>
      </c>
      <c r="AD39" s="36" t="s">
        <v>82</v>
      </c>
      <c r="AE39" s="39" t="s">
        <v>91</v>
      </c>
      <c r="AF39" s="39" t="s">
        <v>99</v>
      </c>
      <c r="AG39" s="14"/>
      <c r="AH39" s="14"/>
    </row>
    <row r="40" spans="1:34" ht="15" customHeight="1" x14ac:dyDescent="0.2">
      <c r="A40" s="36" t="s">
        <v>196</v>
      </c>
      <c r="B40" s="36" t="s">
        <v>37</v>
      </c>
      <c r="C40" s="36" t="s">
        <v>197</v>
      </c>
      <c r="D40" s="36" t="s">
        <v>39</v>
      </c>
      <c r="E40" s="36" t="s">
        <v>322</v>
      </c>
      <c r="F40" s="37" t="s">
        <v>323</v>
      </c>
      <c r="G40" s="36">
        <f>VLOOKUP(F40,'[1]Saldos de Cartera'!$E$8:$S$343,15,0)</f>
        <v>52960.800000000003</v>
      </c>
      <c r="H40" s="36" t="s">
        <v>42</v>
      </c>
      <c r="I40" s="38">
        <v>45961</v>
      </c>
      <c r="J40" s="44" t="s">
        <v>324</v>
      </c>
      <c r="K40" s="36" t="s">
        <v>43</v>
      </c>
      <c r="L40" s="36" t="s">
        <v>325</v>
      </c>
      <c r="M40" s="36" t="s">
        <v>45</v>
      </c>
      <c r="N40" s="36" t="s">
        <v>326</v>
      </c>
      <c r="O40" s="36" t="s">
        <v>96</v>
      </c>
      <c r="P40" s="39"/>
      <c r="Q40" s="39"/>
      <c r="R40" s="39"/>
      <c r="S40" s="36"/>
      <c r="T40" s="36" t="s">
        <v>327</v>
      </c>
      <c r="U40" s="43">
        <v>45961</v>
      </c>
      <c r="V40" s="39" t="s">
        <v>328</v>
      </c>
      <c r="W40" s="39" t="s">
        <v>88</v>
      </c>
      <c r="X40" s="39" t="s">
        <v>329</v>
      </c>
      <c r="Y40" s="39" t="s">
        <v>330</v>
      </c>
      <c r="Z40" s="36" t="s">
        <v>55</v>
      </c>
      <c r="AA40" s="43">
        <v>46198</v>
      </c>
      <c r="AB40" s="39" t="s">
        <v>56</v>
      </c>
      <c r="AC40" s="39" t="s">
        <v>68</v>
      </c>
      <c r="AD40" s="39" t="s">
        <v>58</v>
      </c>
      <c r="AE40" s="39" t="s">
        <v>59</v>
      </c>
      <c r="AF40" s="39" t="s">
        <v>60</v>
      </c>
      <c r="AG40" s="14"/>
      <c r="AH40" s="14"/>
    </row>
    <row r="41" spans="1:34" ht="15" customHeight="1" x14ac:dyDescent="0.2">
      <c r="A41" s="36" t="s">
        <v>196</v>
      </c>
      <c r="B41" s="36" t="s">
        <v>37</v>
      </c>
      <c r="C41" s="36" t="s">
        <v>197</v>
      </c>
      <c r="D41" s="36" t="s">
        <v>39</v>
      </c>
      <c r="E41" s="36" t="s">
        <v>322</v>
      </c>
      <c r="F41" s="37" t="s">
        <v>331</v>
      </c>
      <c r="G41" s="36">
        <f>VLOOKUP(F41,'[1]Saldos de Cartera'!$E$8:$S$343,15,0)</f>
        <v>24885</v>
      </c>
      <c r="H41" s="36" t="s">
        <v>42</v>
      </c>
      <c r="I41" s="38">
        <v>45961</v>
      </c>
      <c r="J41" s="44" t="s">
        <v>324</v>
      </c>
      <c r="K41" s="36" t="s">
        <v>43</v>
      </c>
      <c r="L41" s="36" t="s">
        <v>325</v>
      </c>
      <c r="M41" s="36" t="s">
        <v>45</v>
      </c>
      <c r="N41" s="36" t="s">
        <v>326</v>
      </c>
      <c r="O41" s="36" t="s">
        <v>96</v>
      </c>
      <c r="P41" s="39"/>
      <c r="Q41" s="39"/>
      <c r="R41" s="39"/>
      <c r="S41" s="36"/>
      <c r="T41" s="36" t="s">
        <v>327</v>
      </c>
      <c r="U41" s="43">
        <v>45961</v>
      </c>
      <c r="V41" s="39" t="s">
        <v>328</v>
      </c>
      <c r="W41" s="39" t="s">
        <v>88</v>
      </c>
      <c r="X41" s="39" t="s">
        <v>329</v>
      </c>
      <c r="Y41" s="39" t="s">
        <v>332</v>
      </c>
      <c r="Z41" s="36" t="s">
        <v>55</v>
      </c>
      <c r="AA41" s="43">
        <v>46198</v>
      </c>
      <c r="AB41" s="39" t="s">
        <v>56</v>
      </c>
      <c r="AC41" s="39" t="s">
        <v>68</v>
      </c>
      <c r="AD41" s="39" t="s">
        <v>58</v>
      </c>
      <c r="AE41" s="39" t="s">
        <v>59</v>
      </c>
      <c r="AF41" s="39" t="s">
        <v>60</v>
      </c>
      <c r="AG41" s="14"/>
      <c r="AH41" s="14"/>
    </row>
    <row r="42" spans="1:34" ht="15" customHeight="1" x14ac:dyDescent="0.2">
      <c r="A42" s="36" t="s">
        <v>196</v>
      </c>
      <c r="B42" s="36" t="s">
        <v>37</v>
      </c>
      <c r="C42" s="36" t="s">
        <v>197</v>
      </c>
      <c r="D42" s="36" t="s">
        <v>39</v>
      </c>
      <c r="E42" s="36" t="s">
        <v>333</v>
      </c>
      <c r="F42" s="37" t="s">
        <v>334</v>
      </c>
      <c r="G42" s="36">
        <f>VLOOKUP(F42,'[1]Saldos de Cartera'!$E$8:$S$343,15,0)</f>
        <v>8056.1</v>
      </c>
      <c r="H42" s="36" t="s">
        <v>42</v>
      </c>
      <c r="I42" s="38">
        <v>45687</v>
      </c>
      <c r="J42" s="44" t="s">
        <v>2298</v>
      </c>
      <c r="K42" s="36" t="s">
        <v>43</v>
      </c>
      <c r="L42" s="36" t="s">
        <v>335</v>
      </c>
      <c r="M42" s="36" t="s">
        <v>45</v>
      </c>
      <c r="N42" s="36" t="s">
        <v>46</v>
      </c>
      <c r="O42" s="36" t="s">
        <v>47</v>
      </c>
      <c r="P42" s="42">
        <v>45678</v>
      </c>
      <c r="Q42" s="36" t="s">
        <v>336</v>
      </c>
      <c r="R42" s="39">
        <v>601930</v>
      </c>
      <c r="S42" s="39" t="s">
        <v>49</v>
      </c>
      <c r="T42" s="36" t="s">
        <v>50</v>
      </c>
      <c r="U42" s="42">
        <v>45720</v>
      </c>
      <c r="V42" s="36" t="s">
        <v>337</v>
      </c>
      <c r="W42" s="39" t="s">
        <v>52</v>
      </c>
      <c r="X42" s="36" t="s">
        <v>338</v>
      </c>
      <c r="Y42" s="39" t="s">
        <v>339</v>
      </c>
      <c r="Z42" s="36" t="s">
        <v>55</v>
      </c>
      <c r="AA42" s="42">
        <v>46199</v>
      </c>
      <c r="AB42" s="39" t="s">
        <v>56</v>
      </c>
      <c r="AC42" s="36" t="s">
        <v>90</v>
      </c>
      <c r="AD42" s="36" t="s">
        <v>69</v>
      </c>
      <c r="AE42" s="39" t="s">
        <v>91</v>
      </c>
      <c r="AF42" s="39" t="s">
        <v>99</v>
      </c>
      <c r="AG42" s="14"/>
      <c r="AH42" s="14"/>
    </row>
    <row r="43" spans="1:34" ht="15" customHeight="1" x14ac:dyDescent="0.2">
      <c r="A43" s="36" t="s">
        <v>196</v>
      </c>
      <c r="B43" s="36" t="s">
        <v>37</v>
      </c>
      <c r="C43" s="36" t="s">
        <v>197</v>
      </c>
      <c r="D43" s="36" t="s">
        <v>39</v>
      </c>
      <c r="E43" s="36" t="s">
        <v>340</v>
      </c>
      <c r="F43" s="37" t="s">
        <v>341</v>
      </c>
      <c r="G43" s="36">
        <f>VLOOKUP(F43,'[1]Saldos de Cartera'!$E$8:$S$343,15,0)</f>
        <v>27577.64</v>
      </c>
      <c r="H43" s="36" t="s">
        <v>42</v>
      </c>
      <c r="I43" s="38">
        <v>45615</v>
      </c>
      <c r="J43" s="44" t="s">
        <v>2299</v>
      </c>
      <c r="K43" s="36" t="s">
        <v>43</v>
      </c>
      <c r="L43" s="36" t="s">
        <v>342</v>
      </c>
      <c r="M43" s="36" t="s">
        <v>45</v>
      </c>
      <c r="N43" s="36" t="s">
        <v>343</v>
      </c>
      <c r="O43" s="36" t="s">
        <v>47</v>
      </c>
      <c r="P43" s="41">
        <v>45614</v>
      </c>
      <c r="Q43" s="36" t="s">
        <v>344</v>
      </c>
      <c r="R43" s="39">
        <v>673712</v>
      </c>
      <c r="S43" s="39" t="s">
        <v>49</v>
      </c>
      <c r="T43" s="36" t="s">
        <v>50</v>
      </c>
      <c r="U43" s="42">
        <v>45702</v>
      </c>
      <c r="V43" s="36" t="s">
        <v>345</v>
      </c>
      <c r="W43" s="39" t="s">
        <v>88</v>
      </c>
      <c r="X43" s="36" t="s">
        <v>346</v>
      </c>
      <c r="Y43" s="39" t="s">
        <v>347</v>
      </c>
      <c r="Z43" s="36" t="s">
        <v>80</v>
      </c>
      <c r="AA43" s="42">
        <v>46199</v>
      </c>
      <c r="AB43" s="39" t="s">
        <v>56</v>
      </c>
      <c r="AC43" s="36" t="s">
        <v>90</v>
      </c>
      <c r="AD43" s="36" t="s">
        <v>69</v>
      </c>
      <c r="AE43" s="39" t="s">
        <v>91</v>
      </c>
      <c r="AF43" s="39" t="s">
        <v>99</v>
      </c>
      <c r="AG43" s="14"/>
      <c r="AH43" s="14"/>
    </row>
    <row r="44" spans="1:34" ht="15" customHeight="1" x14ac:dyDescent="0.2">
      <c r="A44" s="36" t="s">
        <v>196</v>
      </c>
      <c r="B44" s="36" t="s">
        <v>37</v>
      </c>
      <c r="C44" s="36" t="s">
        <v>197</v>
      </c>
      <c r="D44" s="36" t="s">
        <v>39</v>
      </c>
      <c r="E44" s="36" t="s">
        <v>348</v>
      </c>
      <c r="F44" s="37" t="s">
        <v>349</v>
      </c>
      <c r="G44" s="36">
        <f>VLOOKUP(F44,'[1]Saldos de Cartera'!$E$8:$S$343,15,0)</f>
        <v>0</v>
      </c>
      <c r="H44" s="36" t="s">
        <v>42</v>
      </c>
      <c r="I44" s="38">
        <v>45418</v>
      </c>
      <c r="J44" s="44" t="s">
        <v>2300</v>
      </c>
      <c r="K44" s="36" t="s">
        <v>43</v>
      </c>
      <c r="L44" s="36" t="s">
        <v>350</v>
      </c>
      <c r="M44" s="36" t="s">
        <v>45</v>
      </c>
      <c r="N44" s="36" t="s">
        <v>118</v>
      </c>
      <c r="O44" s="36" t="s">
        <v>47</v>
      </c>
      <c r="P44" s="42">
        <v>45780</v>
      </c>
      <c r="Q44" s="36" t="s">
        <v>351</v>
      </c>
      <c r="R44" s="39">
        <v>534586</v>
      </c>
      <c r="S44" s="39" t="s">
        <v>49</v>
      </c>
      <c r="T44" s="36" t="s">
        <v>50</v>
      </c>
      <c r="U44" s="42">
        <v>45555</v>
      </c>
      <c r="V44" s="36" t="s">
        <v>352</v>
      </c>
      <c r="W44" s="39" t="s">
        <v>52</v>
      </c>
      <c r="X44" s="36" t="s">
        <v>353</v>
      </c>
      <c r="Y44" s="39" t="s">
        <v>354</v>
      </c>
      <c r="Z44" s="36" t="s">
        <v>55</v>
      </c>
      <c r="AA44" s="41">
        <v>46197</v>
      </c>
      <c r="AB44" s="39" t="s">
        <v>56</v>
      </c>
      <c r="AC44" s="36" t="s">
        <v>90</v>
      </c>
      <c r="AD44" s="36" t="s">
        <v>58</v>
      </c>
      <c r="AE44" s="39" t="s">
        <v>91</v>
      </c>
      <c r="AF44" s="39" t="s">
        <v>99</v>
      </c>
      <c r="AG44" s="14"/>
      <c r="AH44" s="14"/>
    </row>
    <row r="45" spans="1:34" ht="15" customHeight="1" x14ac:dyDescent="0.2">
      <c r="A45" s="36" t="s">
        <v>196</v>
      </c>
      <c r="B45" s="36" t="s">
        <v>37</v>
      </c>
      <c r="C45" s="36" t="s">
        <v>197</v>
      </c>
      <c r="D45" s="36" t="s">
        <v>39</v>
      </c>
      <c r="E45" s="36" t="s">
        <v>355</v>
      </c>
      <c r="F45" s="37" t="s">
        <v>356</v>
      </c>
      <c r="G45" s="36">
        <f>VLOOKUP(F45,'[1]Saldos de Cartera'!$E$8:$S$343,15,0)</f>
        <v>14184.82</v>
      </c>
      <c r="H45" s="36" t="s">
        <v>42</v>
      </c>
      <c r="I45" s="38">
        <v>45905</v>
      </c>
      <c r="J45" s="44" t="s">
        <v>2301</v>
      </c>
      <c r="K45" s="36" t="s">
        <v>43</v>
      </c>
      <c r="L45" s="36" t="s">
        <v>357</v>
      </c>
      <c r="M45" s="36" t="s">
        <v>45</v>
      </c>
      <c r="N45" s="36" t="s">
        <v>46</v>
      </c>
      <c r="O45" s="36" t="s">
        <v>47</v>
      </c>
      <c r="P45" s="40">
        <v>45895</v>
      </c>
      <c r="Q45" s="39" t="s">
        <v>358</v>
      </c>
      <c r="R45" s="39">
        <v>915117</v>
      </c>
      <c r="S45" s="39" t="s">
        <v>49</v>
      </c>
      <c r="T45" s="36" t="s">
        <v>50</v>
      </c>
      <c r="U45" s="40">
        <v>45923</v>
      </c>
      <c r="V45" s="39" t="s">
        <v>359</v>
      </c>
      <c r="W45" s="39" t="s">
        <v>88</v>
      </c>
      <c r="X45" s="39" t="s">
        <v>360</v>
      </c>
      <c r="Y45" s="39" t="s">
        <v>361</v>
      </c>
      <c r="Z45" s="36" t="s">
        <v>55</v>
      </c>
      <c r="AA45" s="43">
        <v>46199</v>
      </c>
      <c r="AB45" s="39" t="s">
        <v>56</v>
      </c>
      <c r="AC45" s="39" t="s">
        <v>68</v>
      </c>
      <c r="AD45" s="39" t="s">
        <v>69</v>
      </c>
      <c r="AE45" s="39" t="s">
        <v>59</v>
      </c>
      <c r="AF45" s="39" t="s">
        <v>99</v>
      </c>
      <c r="AG45" s="14"/>
      <c r="AH45" s="14"/>
    </row>
    <row r="46" spans="1:34" ht="15" customHeight="1" x14ac:dyDescent="0.2">
      <c r="A46" s="36" t="s">
        <v>196</v>
      </c>
      <c r="B46" s="36" t="s">
        <v>37</v>
      </c>
      <c r="C46" s="36" t="s">
        <v>197</v>
      </c>
      <c r="D46" s="36" t="s">
        <v>39</v>
      </c>
      <c r="E46" s="36" t="s">
        <v>362</v>
      </c>
      <c r="F46" s="37" t="s">
        <v>363</v>
      </c>
      <c r="G46" s="36">
        <f>VLOOKUP(F46,'[1]Saldos de Cartera'!$E$8:$S$343,15,0)</f>
        <v>24333.200000000001</v>
      </c>
      <c r="H46" s="36" t="s">
        <v>42</v>
      </c>
      <c r="I46" s="38">
        <v>45920</v>
      </c>
      <c r="J46" s="44" t="s">
        <v>2302</v>
      </c>
      <c r="K46" s="36" t="s">
        <v>43</v>
      </c>
      <c r="L46" s="36" t="s">
        <v>364</v>
      </c>
      <c r="M46" s="36" t="s">
        <v>45</v>
      </c>
      <c r="N46" s="36" t="s">
        <v>118</v>
      </c>
      <c r="O46" s="36" t="s">
        <v>47</v>
      </c>
      <c r="P46" s="40">
        <v>45916</v>
      </c>
      <c r="Q46" s="39" t="s">
        <v>365</v>
      </c>
      <c r="R46" s="39">
        <v>882478</v>
      </c>
      <c r="S46" s="39" t="s">
        <v>49</v>
      </c>
      <c r="T46" s="36" t="s">
        <v>50</v>
      </c>
      <c r="U46" s="40">
        <v>46042</v>
      </c>
      <c r="V46" s="39" t="s">
        <v>366</v>
      </c>
      <c r="W46" s="39" t="s">
        <v>88</v>
      </c>
      <c r="X46" s="39" t="s">
        <v>367</v>
      </c>
      <c r="Y46" s="39" t="s">
        <v>368</v>
      </c>
      <c r="Z46" s="36" t="s">
        <v>55</v>
      </c>
      <c r="AA46" s="43">
        <v>46199</v>
      </c>
      <c r="AB46" s="39" t="s">
        <v>56</v>
      </c>
      <c r="AC46" s="39" t="s">
        <v>68</v>
      </c>
      <c r="AD46" s="39" t="s">
        <v>69</v>
      </c>
      <c r="AE46" s="39" t="s">
        <v>59</v>
      </c>
      <c r="AF46" s="39" t="s">
        <v>99</v>
      </c>
      <c r="AG46" s="14"/>
      <c r="AH46" s="14"/>
    </row>
    <row r="47" spans="1:34" ht="15" customHeight="1" x14ac:dyDescent="0.2">
      <c r="A47" s="36" t="s">
        <v>369</v>
      </c>
      <c r="B47" s="36" t="s">
        <v>37</v>
      </c>
      <c r="C47" s="36" t="s">
        <v>38</v>
      </c>
      <c r="D47" s="36" t="s">
        <v>39</v>
      </c>
      <c r="E47" s="36" t="s">
        <v>370</v>
      </c>
      <c r="F47" s="37" t="s">
        <v>371</v>
      </c>
      <c r="G47" s="36">
        <f>VLOOKUP(F47,'[1]Saldos de Cartera'!$E$8:$S$343,15,0)</f>
        <v>31709.07</v>
      </c>
      <c r="H47" s="36" t="s">
        <v>42</v>
      </c>
      <c r="I47" s="38">
        <v>45220</v>
      </c>
      <c r="J47" s="44" t="s">
        <v>2303</v>
      </c>
      <c r="K47" s="36" t="s">
        <v>72</v>
      </c>
      <c r="L47" s="36" t="s">
        <v>372</v>
      </c>
      <c r="M47" s="36" t="s">
        <v>45</v>
      </c>
      <c r="N47" s="36" t="s">
        <v>46</v>
      </c>
      <c r="O47" s="36" t="s">
        <v>96</v>
      </c>
      <c r="P47" s="36"/>
      <c r="Q47" s="36"/>
      <c r="R47" s="39"/>
      <c r="S47" s="36"/>
      <c r="T47" s="36" t="s">
        <v>50</v>
      </c>
      <c r="U47" s="41">
        <v>45211</v>
      </c>
      <c r="V47" s="36" t="s">
        <v>373</v>
      </c>
      <c r="W47" s="39" t="s">
        <v>52</v>
      </c>
      <c r="X47" s="39" t="s">
        <v>96</v>
      </c>
      <c r="Y47" s="39" t="s">
        <v>374</v>
      </c>
      <c r="Z47" s="36" t="s">
        <v>96</v>
      </c>
      <c r="AA47" s="41">
        <v>46196</v>
      </c>
      <c r="AB47" s="39" t="s">
        <v>56</v>
      </c>
      <c r="AC47" s="36" t="s">
        <v>375</v>
      </c>
      <c r="AD47" s="36" t="s">
        <v>69</v>
      </c>
      <c r="AE47" s="39" t="s">
        <v>59</v>
      </c>
      <c r="AF47" s="39" t="s">
        <v>60</v>
      </c>
      <c r="AG47" s="14"/>
      <c r="AH47" s="14"/>
    </row>
    <row r="48" spans="1:34" ht="15" customHeight="1" x14ac:dyDescent="0.2">
      <c r="A48" s="36" t="s">
        <v>369</v>
      </c>
      <c r="B48" s="36" t="s">
        <v>37</v>
      </c>
      <c r="C48" s="36" t="s">
        <v>38</v>
      </c>
      <c r="D48" s="36" t="s">
        <v>39</v>
      </c>
      <c r="E48" s="36" t="s">
        <v>376</v>
      </c>
      <c r="F48" s="37" t="s">
        <v>377</v>
      </c>
      <c r="G48" s="36">
        <f>VLOOKUP(F48,'[1]Saldos de Cartera'!$E$8:$S$343,15,0)</f>
        <v>43200</v>
      </c>
      <c r="H48" s="36" t="s">
        <v>42</v>
      </c>
      <c r="I48" s="38">
        <v>45127</v>
      </c>
      <c r="J48" s="44" t="s">
        <v>324</v>
      </c>
      <c r="K48" s="36" t="s">
        <v>43</v>
      </c>
      <c r="L48" s="36" t="s">
        <v>378</v>
      </c>
      <c r="M48" s="36" t="s">
        <v>45</v>
      </c>
      <c r="N48" s="36" t="s">
        <v>326</v>
      </c>
      <c r="O48" s="36" t="s">
        <v>96</v>
      </c>
      <c r="P48" s="36"/>
      <c r="Q48" s="36"/>
      <c r="R48" s="39"/>
      <c r="S48" s="36"/>
      <c r="T48" s="36" t="s">
        <v>327</v>
      </c>
      <c r="U48" s="42">
        <v>45124</v>
      </c>
      <c r="V48" s="36" t="s">
        <v>379</v>
      </c>
      <c r="W48" s="39" t="s">
        <v>88</v>
      </c>
      <c r="X48" s="36" t="s">
        <v>380</v>
      </c>
      <c r="Y48" s="39" t="s">
        <v>381</v>
      </c>
      <c r="Z48" s="36" t="s">
        <v>122</v>
      </c>
      <c r="AA48" s="41">
        <v>46196</v>
      </c>
      <c r="AB48" s="39" t="s">
        <v>56</v>
      </c>
      <c r="AC48" s="36" t="s">
        <v>68</v>
      </c>
      <c r="AD48" s="39" t="s">
        <v>58</v>
      </c>
      <c r="AE48" s="39" t="s">
        <v>59</v>
      </c>
      <c r="AF48" s="39" t="s">
        <v>60</v>
      </c>
      <c r="AG48" s="14"/>
      <c r="AH48" s="14"/>
    </row>
    <row r="49" spans="1:34" ht="15" customHeight="1" x14ac:dyDescent="0.2">
      <c r="A49" s="36" t="s">
        <v>369</v>
      </c>
      <c r="B49" s="36" t="s">
        <v>37</v>
      </c>
      <c r="C49" s="36" t="s">
        <v>38</v>
      </c>
      <c r="D49" s="36" t="s">
        <v>39</v>
      </c>
      <c r="E49" s="36" t="s">
        <v>382</v>
      </c>
      <c r="F49" s="37" t="s">
        <v>383</v>
      </c>
      <c r="G49" s="36">
        <f>VLOOKUP(F49,'[1]Saldos de Cartera'!$E$8:$S$343,15,0)</f>
        <v>100000</v>
      </c>
      <c r="H49" s="36" t="s">
        <v>42</v>
      </c>
      <c r="I49" s="38">
        <v>45077</v>
      </c>
      <c r="J49" s="44" t="s">
        <v>2304</v>
      </c>
      <c r="K49" s="36" t="s">
        <v>43</v>
      </c>
      <c r="L49" s="36" t="s">
        <v>384</v>
      </c>
      <c r="M49" s="36" t="s">
        <v>45</v>
      </c>
      <c r="N49" s="36" t="s">
        <v>385</v>
      </c>
      <c r="O49" s="36" t="s">
        <v>47</v>
      </c>
      <c r="P49" s="42">
        <v>45069</v>
      </c>
      <c r="Q49" s="36" t="s">
        <v>386</v>
      </c>
      <c r="R49" s="39" t="s">
        <v>387</v>
      </c>
      <c r="S49" s="39" t="s">
        <v>49</v>
      </c>
      <c r="T49" s="36" t="s">
        <v>50</v>
      </c>
      <c r="U49" s="42">
        <v>45122</v>
      </c>
      <c r="V49" s="36" t="s">
        <v>388</v>
      </c>
      <c r="W49" s="39" t="s">
        <v>88</v>
      </c>
      <c r="X49" s="36" t="s">
        <v>389</v>
      </c>
      <c r="Y49" s="39" t="s">
        <v>390</v>
      </c>
      <c r="Z49" s="36" t="s">
        <v>55</v>
      </c>
      <c r="AA49" s="41">
        <v>46196</v>
      </c>
      <c r="AB49" s="39" t="s">
        <v>56</v>
      </c>
      <c r="AC49" s="36" t="s">
        <v>391</v>
      </c>
      <c r="AD49" s="36" t="s">
        <v>69</v>
      </c>
      <c r="AE49" s="39" t="s">
        <v>59</v>
      </c>
      <c r="AF49" s="39" t="s">
        <v>60</v>
      </c>
      <c r="AG49" s="14"/>
      <c r="AH49" s="14"/>
    </row>
    <row r="50" spans="1:34" ht="15" customHeight="1" x14ac:dyDescent="0.2">
      <c r="A50" s="36" t="s">
        <v>369</v>
      </c>
      <c r="B50" s="36" t="s">
        <v>37</v>
      </c>
      <c r="C50" s="36" t="s">
        <v>38</v>
      </c>
      <c r="D50" s="36" t="s">
        <v>39</v>
      </c>
      <c r="E50" s="36" t="s">
        <v>392</v>
      </c>
      <c r="F50" s="37" t="s">
        <v>393</v>
      </c>
      <c r="G50" s="36">
        <f>VLOOKUP(F50,'[1]Saldos de Cartera'!$E$8:$S$343,15,0)</f>
        <v>30000</v>
      </c>
      <c r="H50" s="36" t="s">
        <v>42</v>
      </c>
      <c r="I50" s="38">
        <v>45916</v>
      </c>
      <c r="J50" s="44" t="s">
        <v>2305</v>
      </c>
      <c r="K50" s="36" t="s">
        <v>72</v>
      </c>
      <c r="L50" s="36" t="s">
        <v>394</v>
      </c>
      <c r="M50" s="36" t="s">
        <v>45</v>
      </c>
      <c r="N50" s="36" t="s">
        <v>221</v>
      </c>
      <c r="O50" s="36" t="s">
        <v>96</v>
      </c>
      <c r="P50" s="39"/>
      <c r="Q50" s="39"/>
      <c r="R50" s="39"/>
      <c r="S50" s="36"/>
      <c r="T50" s="36" t="s">
        <v>50</v>
      </c>
      <c r="U50" s="40">
        <v>45904</v>
      </c>
      <c r="V50" s="39" t="s">
        <v>395</v>
      </c>
      <c r="W50" s="39" t="s">
        <v>52</v>
      </c>
      <c r="X50" s="39" t="s">
        <v>96</v>
      </c>
      <c r="Y50" s="39" t="s">
        <v>396</v>
      </c>
      <c r="Z50" s="39" t="s">
        <v>96</v>
      </c>
      <c r="AA50" s="43">
        <v>46195</v>
      </c>
      <c r="AB50" s="39" t="s">
        <v>56</v>
      </c>
      <c r="AC50" s="39" t="s">
        <v>68</v>
      </c>
      <c r="AD50" s="36" t="s">
        <v>82</v>
      </c>
      <c r="AE50" s="39" t="s">
        <v>59</v>
      </c>
      <c r="AF50" s="39" t="s">
        <v>60</v>
      </c>
      <c r="AG50" s="14"/>
      <c r="AH50" s="14"/>
    </row>
    <row r="51" spans="1:34" ht="15" customHeight="1" x14ac:dyDescent="0.2">
      <c r="A51" s="36" t="s">
        <v>369</v>
      </c>
      <c r="B51" s="36" t="s">
        <v>37</v>
      </c>
      <c r="C51" s="36" t="s">
        <v>38</v>
      </c>
      <c r="D51" s="36" t="s">
        <v>39</v>
      </c>
      <c r="E51" s="36" t="s">
        <v>397</v>
      </c>
      <c r="F51" s="37" t="s">
        <v>398</v>
      </c>
      <c r="G51" s="36">
        <f>VLOOKUP(F51,'[1]Saldos de Cartera'!$E$8:$S$343,15,0)</f>
        <v>8826.9699999999993</v>
      </c>
      <c r="H51" s="36" t="s">
        <v>42</v>
      </c>
      <c r="I51" s="38">
        <v>45169</v>
      </c>
      <c r="J51" s="44" t="s">
        <v>2306</v>
      </c>
      <c r="K51" s="36" t="s">
        <v>72</v>
      </c>
      <c r="L51" s="36" t="s">
        <v>399</v>
      </c>
      <c r="M51" s="36" t="s">
        <v>45</v>
      </c>
      <c r="N51" s="36" t="s">
        <v>118</v>
      </c>
      <c r="O51" s="36" t="s">
        <v>96</v>
      </c>
      <c r="P51" s="36"/>
      <c r="Q51" s="36"/>
      <c r="R51" s="39"/>
      <c r="S51" s="36"/>
      <c r="T51" s="36" t="s">
        <v>50</v>
      </c>
      <c r="U51" s="42">
        <v>45169</v>
      </c>
      <c r="V51" s="36" t="s">
        <v>400</v>
      </c>
      <c r="W51" s="39" t="s">
        <v>52</v>
      </c>
      <c r="X51" s="39" t="s">
        <v>96</v>
      </c>
      <c r="Y51" s="39" t="s">
        <v>401</v>
      </c>
      <c r="Z51" s="36" t="s">
        <v>96</v>
      </c>
      <c r="AA51" s="41">
        <v>46196</v>
      </c>
      <c r="AB51" s="39" t="s">
        <v>56</v>
      </c>
      <c r="AC51" s="36" t="s">
        <v>402</v>
      </c>
      <c r="AD51" s="36" t="s">
        <v>69</v>
      </c>
      <c r="AE51" s="39" t="s">
        <v>59</v>
      </c>
      <c r="AF51" s="39" t="s">
        <v>60</v>
      </c>
      <c r="AG51" s="14"/>
      <c r="AH51" s="14"/>
    </row>
    <row r="52" spans="1:34" ht="15" customHeight="1" x14ac:dyDescent="0.2">
      <c r="A52" s="36" t="s">
        <v>369</v>
      </c>
      <c r="B52" s="36" t="s">
        <v>37</v>
      </c>
      <c r="C52" s="36" t="s">
        <v>38</v>
      </c>
      <c r="D52" s="36" t="s">
        <v>39</v>
      </c>
      <c r="E52" s="36" t="s">
        <v>403</v>
      </c>
      <c r="F52" s="37" t="s">
        <v>404</v>
      </c>
      <c r="G52" s="36">
        <f>VLOOKUP(F52,'[1]Saldos de Cartera'!$E$8:$S$343,15,0)</f>
        <v>234393.46</v>
      </c>
      <c r="H52" s="36" t="s">
        <v>42</v>
      </c>
      <c r="I52" s="38">
        <v>43739</v>
      </c>
      <c r="J52" s="44" t="s">
        <v>324</v>
      </c>
      <c r="K52" s="36" t="s">
        <v>43</v>
      </c>
      <c r="L52" s="36" t="s">
        <v>405</v>
      </c>
      <c r="M52" s="36" t="s">
        <v>45</v>
      </c>
      <c r="N52" s="36" t="s">
        <v>406</v>
      </c>
      <c r="O52" s="36" t="s">
        <v>96</v>
      </c>
      <c r="P52" s="36"/>
      <c r="Q52" s="36"/>
      <c r="R52" s="39"/>
      <c r="S52" s="36"/>
      <c r="T52" s="36" t="s">
        <v>327</v>
      </c>
      <c r="U52" s="42">
        <v>43728</v>
      </c>
      <c r="V52" s="36" t="s">
        <v>407</v>
      </c>
      <c r="W52" s="39" t="s">
        <v>246</v>
      </c>
      <c r="X52" s="39" t="s">
        <v>408</v>
      </c>
      <c r="Y52" s="39" t="s">
        <v>409</v>
      </c>
      <c r="Z52" s="36" t="s">
        <v>55</v>
      </c>
      <c r="AA52" s="41">
        <v>46197</v>
      </c>
      <c r="AB52" s="39" t="s">
        <v>56</v>
      </c>
      <c r="AC52" s="36" t="s">
        <v>68</v>
      </c>
      <c r="AD52" s="39" t="s">
        <v>58</v>
      </c>
      <c r="AE52" s="39" t="s">
        <v>59</v>
      </c>
      <c r="AF52" s="39" t="s">
        <v>60</v>
      </c>
      <c r="AG52" s="14"/>
      <c r="AH52" s="14"/>
    </row>
    <row r="53" spans="1:34" ht="15" customHeight="1" x14ac:dyDescent="0.2">
      <c r="A53" s="36" t="s">
        <v>369</v>
      </c>
      <c r="B53" s="36" t="s">
        <v>37</v>
      </c>
      <c r="C53" s="36" t="s">
        <v>38</v>
      </c>
      <c r="D53" s="36" t="s">
        <v>39</v>
      </c>
      <c r="E53" s="36" t="s">
        <v>410</v>
      </c>
      <c r="F53" s="37" t="s">
        <v>411</v>
      </c>
      <c r="G53" s="36">
        <f>VLOOKUP(F53,'[1]Saldos de Cartera'!$E$8:$S$343,15,0)</f>
        <v>0</v>
      </c>
      <c r="H53" s="36" t="s">
        <v>42</v>
      </c>
      <c r="I53" s="38">
        <v>45077</v>
      </c>
      <c r="J53" s="44" t="s">
        <v>2307</v>
      </c>
      <c r="K53" s="36" t="s">
        <v>43</v>
      </c>
      <c r="L53" s="36" t="s">
        <v>412</v>
      </c>
      <c r="M53" s="36" t="s">
        <v>45</v>
      </c>
      <c r="N53" s="36" t="s">
        <v>237</v>
      </c>
      <c r="O53" s="36" t="s">
        <v>47</v>
      </c>
      <c r="P53" s="42">
        <v>45069</v>
      </c>
      <c r="Q53" s="36" t="s">
        <v>413</v>
      </c>
      <c r="R53" s="39" t="s">
        <v>414</v>
      </c>
      <c r="S53" s="39" t="s">
        <v>49</v>
      </c>
      <c r="T53" s="36" t="s">
        <v>50</v>
      </c>
      <c r="U53" s="42">
        <v>45149</v>
      </c>
      <c r="V53" s="36" t="s">
        <v>415</v>
      </c>
      <c r="W53" s="39" t="s">
        <v>88</v>
      </c>
      <c r="X53" s="36" t="s">
        <v>416</v>
      </c>
      <c r="Y53" s="39" t="s">
        <v>417</v>
      </c>
      <c r="Z53" s="36" t="s">
        <v>80</v>
      </c>
      <c r="AA53" s="41">
        <v>46196</v>
      </c>
      <c r="AB53" s="39" t="s">
        <v>56</v>
      </c>
      <c r="AC53" s="36" t="s">
        <v>90</v>
      </c>
      <c r="AD53" s="36" t="s">
        <v>69</v>
      </c>
      <c r="AE53" s="39" t="s">
        <v>91</v>
      </c>
      <c r="AF53" s="39" t="s">
        <v>99</v>
      </c>
      <c r="AG53" s="14"/>
      <c r="AH53" s="14"/>
    </row>
    <row r="54" spans="1:34" ht="15" customHeight="1" x14ac:dyDescent="0.2">
      <c r="A54" s="36" t="s">
        <v>369</v>
      </c>
      <c r="B54" s="36" t="s">
        <v>37</v>
      </c>
      <c r="C54" s="36" t="s">
        <v>38</v>
      </c>
      <c r="D54" s="36" t="s">
        <v>39</v>
      </c>
      <c r="E54" s="36" t="s">
        <v>418</v>
      </c>
      <c r="F54" s="37" t="s">
        <v>419</v>
      </c>
      <c r="G54" s="36">
        <f>VLOOKUP(F54,'[1]Saldos de Cartera'!$E$8:$S$343,15,0)</f>
        <v>70513.09</v>
      </c>
      <c r="H54" s="36" t="s">
        <v>42</v>
      </c>
      <c r="I54" s="38">
        <v>45909</v>
      </c>
      <c r="J54" s="44" t="s">
        <v>2308</v>
      </c>
      <c r="K54" s="36" t="s">
        <v>72</v>
      </c>
      <c r="L54" s="36" t="s">
        <v>420</v>
      </c>
      <c r="M54" s="36" t="s">
        <v>45</v>
      </c>
      <c r="N54" s="36" t="s">
        <v>421</v>
      </c>
      <c r="O54" s="36" t="s">
        <v>96</v>
      </c>
      <c r="P54" s="39"/>
      <c r="Q54" s="39"/>
      <c r="R54" s="39"/>
      <c r="S54" s="36"/>
      <c r="T54" s="36" t="s">
        <v>50</v>
      </c>
      <c r="U54" s="40">
        <v>45904</v>
      </c>
      <c r="V54" s="39" t="s">
        <v>422</v>
      </c>
      <c r="W54" s="39" t="s">
        <v>88</v>
      </c>
      <c r="X54" s="39" t="s">
        <v>96</v>
      </c>
      <c r="Y54" s="39" t="s">
        <v>423</v>
      </c>
      <c r="Z54" s="39" t="s">
        <v>96</v>
      </c>
      <c r="AA54" s="43">
        <v>46195</v>
      </c>
      <c r="AB54" s="39" t="s">
        <v>56</v>
      </c>
      <c r="AC54" s="39" t="s">
        <v>68</v>
      </c>
      <c r="AD54" s="36" t="s">
        <v>82</v>
      </c>
      <c r="AE54" s="39" t="s">
        <v>59</v>
      </c>
      <c r="AF54" s="39" t="s">
        <v>60</v>
      </c>
      <c r="AG54" s="14"/>
      <c r="AH54" s="14"/>
    </row>
    <row r="55" spans="1:34" ht="15" customHeight="1" x14ac:dyDescent="0.2">
      <c r="A55" s="36" t="s">
        <v>369</v>
      </c>
      <c r="B55" s="36" t="s">
        <v>37</v>
      </c>
      <c r="C55" s="36" t="s">
        <v>38</v>
      </c>
      <c r="D55" s="36" t="s">
        <v>39</v>
      </c>
      <c r="E55" s="36" t="s">
        <v>424</v>
      </c>
      <c r="F55" s="37" t="s">
        <v>425</v>
      </c>
      <c r="G55" s="36">
        <f>VLOOKUP(F55,'[1]Saldos de Cartera'!$E$8:$S$343,15,0)</f>
        <v>12000</v>
      </c>
      <c r="H55" s="36" t="s">
        <v>42</v>
      </c>
      <c r="I55" s="38">
        <v>45220</v>
      </c>
      <c r="J55" s="44" t="s">
        <v>2309</v>
      </c>
      <c r="K55" s="36" t="s">
        <v>72</v>
      </c>
      <c r="L55" s="36" t="s">
        <v>426</v>
      </c>
      <c r="M55" s="36" t="s">
        <v>45</v>
      </c>
      <c r="N55" s="36" t="s">
        <v>46</v>
      </c>
      <c r="O55" s="36" t="s">
        <v>96</v>
      </c>
      <c r="P55" s="36"/>
      <c r="Q55" s="36"/>
      <c r="R55" s="39"/>
      <c r="S55" s="36"/>
      <c r="T55" s="36" t="s">
        <v>50</v>
      </c>
      <c r="U55" s="41">
        <v>45211</v>
      </c>
      <c r="V55" s="36" t="s">
        <v>427</v>
      </c>
      <c r="W55" s="39" t="s">
        <v>52</v>
      </c>
      <c r="X55" s="39" t="s">
        <v>96</v>
      </c>
      <c r="Y55" s="39" t="s">
        <v>428</v>
      </c>
      <c r="Z55" s="36" t="s">
        <v>96</v>
      </c>
      <c r="AA55" s="41">
        <v>46196</v>
      </c>
      <c r="AB55" s="39" t="s">
        <v>56</v>
      </c>
      <c r="AC55" s="36" t="s">
        <v>429</v>
      </c>
      <c r="AD55" s="36" t="s">
        <v>69</v>
      </c>
      <c r="AE55" s="39" t="s">
        <v>59</v>
      </c>
      <c r="AF55" s="39" t="s">
        <v>60</v>
      </c>
      <c r="AG55" s="14"/>
      <c r="AH55" s="14"/>
    </row>
    <row r="56" spans="1:34" ht="15" customHeight="1" x14ac:dyDescent="0.2">
      <c r="A56" s="36" t="s">
        <v>369</v>
      </c>
      <c r="B56" s="36" t="s">
        <v>37</v>
      </c>
      <c r="C56" s="36" t="s">
        <v>38</v>
      </c>
      <c r="D56" s="36" t="s">
        <v>39</v>
      </c>
      <c r="E56" s="36" t="s">
        <v>430</v>
      </c>
      <c r="F56" s="37" t="s">
        <v>431</v>
      </c>
      <c r="G56" s="36">
        <f>VLOOKUP(F56,'[1]Saldos de Cartera'!$E$8:$S$343,15,0)</f>
        <v>18636.93</v>
      </c>
      <c r="H56" s="36" t="s">
        <v>42</v>
      </c>
      <c r="I56" s="38">
        <v>45520</v>
      </c>
      <c r="J56" s="44" t="s">
        <v>2310</v>
      </c>
      <c r="K56" s="36" t="s">
        <v>43</v>
      </c>
      <c r="L56" s="36" t="s">
        <v>432</v>
      </c>
      <c r="M56" s="36" t="s">
        <v>45</v>
      </c>
      <c r="N56" s="36" t="s">
        <v>118</v>
      </c>
      <c r="O56" s="36" t="s">
        <v>47</v>
      </c>
      <c r="P56" s="42">
        <v>45520</v>
      </c>
      <c r="Q56" s="36" t="s">
        <v>433</v>
      </c>
      <c r="R56" s="39">
        <v>280494</v>
      </c>
      <c r="S56" s="36" t="s">
        <v>49</v>
      </c>
      <c r="T56" s="36" t="s">
        <v>50</v>
      </c>
      <c r="U56" s="42">
        <v>46127</v>
      </c>
      <c r="V56" s="36" t="s">
        <v>434</v>
      </c>
      <c r="W56" s="36" t="s">
        <v>88</v>
      </c>
      <c r="X56" s="36" t="s">
        <v>436</v>
      </c>
      <c r="Y56" s="39" t="s">
        <v>437</v>
      </c>
      <c r="Z56" s="36" t="s">
        <v>55</v>
      </c>
      <c r="AA56" s="41">
        <v>46195</v>
      </c>
      <c r="AB56" s="39" t="s">
        <v>56</v>
      </c>
      <c r="AC56" s="36" t="s">
        <v>438</v>
      </c>
      <c r="AD56" s="36" t="s">
        <v>82</v>
      </c>
      <c r="AE56" s="39" t="s">
        <v>91</v>
      </c>
      <c r="AF56" s="39" t="s">
        <v>99</v>
      </c>
      <c r="AG56" s="14"/>
      <c r="AH56" s="14"/>
    </row>
    <row r="57" spans="1:34" ht="15" customHeight="1" x14ac:dyDescent="0.2">
      <c r="A57" s="36" t="s">
        <v>369</v>
      </c>
      <c r="B57" s="36" t="s">
        <v>37</v>
      </c>
      <c r="C57" s="36" t="s">
        <v>38</v>
      </c>
      <c r="D57" s="36" t="s">
        <v>39</v>
      </c>
      <c r="E57" s="36" t="s">
        <v>439</v>
      </c>
      <c r="F57" s="37" t="s">
        <v>440</v>
      </c>
      <c r="G57" s="36">
        <f>VLOOKUP(F57,'[1]Saldos de Cartera'!$E$8:$S$343,15,0)</f>
        <v>36650.120000000003</v>
      </c>
      <c r="H57" s="36" t="s">
        <v>42</v>
      </c>
      <c r="I57" s="38">
        <v>45220</v>
      </c>
      <c r="J57" s="44" t="s">
        <v>2311</v>
      </c>
      <c r="K57" s="36" t="s">
        <v>72</v>
      </c>
      <c r="L57" s="36" t="s">
        <v>441</v>
      </c>
      <c r="M57" s="36" t="s">
        <v>45</v>
      </c>
      <c r="N57" s="36" t="s">
        <v>442</v>
      </c>
      <c r="O57" s="36" t="s">
        <v>96</v>
      </c>
      <c r="P57" s="36"/>
      <c r="Q57" s="36"/>
      <c r="R57" s="39"/>
      <c r="S57" s="36"/>
      <c r="T57" s="36" t="s">
        <v>50</v>
      </c>
      <c r="U57" s="41">
        <v>45211</v>
      </c>
      <c r="V57" s="36" t="s">
        <v>443</v>
      </c>
      <c r="W57" s="39" t="s">
        <v>52</v>
      </c>
      <c r="X57" s="39" t="s">
        <v>96</v>
      </c>
      <c r="Y57" s="39" t="s">
        <v>444</v>
      </c>
      <c r="Z57" s="36" t="s">
        <v>96</v>
      </c>
      <c r="AA57" s="41">
        <v>46196</v>
      </c>
      <c r="AB57" s="39" t="s">
        <v>56</v>
      </c>
      <c r="AC57" s="36" t="s">
        <v>445</v>
      </c>
      <c r="AD57" s="36" t="s">
        <v>69</v>
      </c>
      <c r="AE57" s="39" t="s">
        <v>59</v>
      </c>
      <c r="AF57" s="39" t="s">
        <v>60</v>
      </c>
      <c r="AG57" s="14"/>
      <c r="AH57" s="14"/>
    </row>
    <row r="58" spans="1:34" ht="15" customHeight="1" x14ac:dyDescent="0.2">
      <c r="A58" s="36" t="s">
        <v>369</v>
      </c>
      <c r="B58" s="36" t="s">
        <v>37</v>
      </c>
      <c r="C58" s="36" t="s">
        <v>38</v>
      </c>
      <c r="D58" s="36" t="s">
        <v>39</v>
      </c>
      <c r="E58" s="36" t="s">
        <v>446</v>
      </c>
      <c r="F58" s="37" t="s">
        <v>447</v>
      </c>
      <c r="G58" s="36">
        <f>VLOOKUP(F58,'[1]Saldos de Cartera'!$E$8:$S$343,15,0)</f>
        <v>25438.36</v>
      </c>
      <c r="H58" s="36" t="s">
        <v>42</v>
      </c>
      <c r="I58" s="38">
        <v>45220</v>
      </c>
      <c r="J58" s="44" t="s">
        <v>2312</v>
      </c>
      <c r="K58" s="36" t="s">
        <v>72</v>
      </c>
      <c r="L58" s="36" t="s">
        <v>448</v>
      </c>
      <c r="M58" s="36" t="s">
        <v>45</v>
      </c>
      <c r="N58" s="36" t="s">
        <v>118</v>
      </c>
      <c r="O58" s="36" t="s">
        <v>96</v>
      </c>
      <c r="P58" s="36"/>
      <c r="Q58" s="36"/>
      <c r="R58" s="39"/>
      <c r="S58" s="36"/>
      <c r="T58" s="36" t="s">
        <v>50</v>
      </c>
      <c r="U58" s="41">
        <v>45211</v>
      </c>
      <c r="V58" s="36" t="s">
        <v>449</v>
      </c>
      <c r="W58" s="39" t="s">
        <v>52</v>
      </c>
      <c r="X58" s="39" t="s">
        <v>96</v>
      </c>
      <c r="Y58" s="39" t="s">
        <v>450</v>
      </c>
      <c r="Z58" s="36" t="s">
        <v>96</v>
      </c>
      <c r="AA58" s="41">
        <v>46196</v>
      </c>
      <c r="AB58" s="39" t="s">
        <v>56</v>
      </c>
      <c r="AC58" s="36" t="s">
        <v>451</v>
      </c>
      <c r="AD58" s="36" t="s">
        <v>69</v>
      </c>
      <c r="AE58" s="39" t="s">
        <v>59</v>
      </c>
      <c r="AF58" s="39" t="s">
        <v>60</v>
      </c>
      <c r="AG58" s="14"/>
      <c r="AH58" s="14"/>
    </row>
    <row r="59" spans="1:34" ht="15" customHeight="1" x14ac:dyDescent="0.2">
      <c r="A59" s="36" t="s">
        <v>369</v>
      </c>
      <c r="B59" s="36" t="s">
        <v>37</v>
      </c>
      <c r="C59" s="36" t="s">
        <v>38</v>
      </c>
      <c r="D59" s="36" t="s">
        <v>39</v>
      </c>
      <c r="E59" s="36" t="s">
        <v>452</v>
      </c>
      <c r="F59" s="37" t="s">
        <v>453</v>
      </c>
      <c r="G59" s="36">
        <f>VLOOKUP(F59,'[1]Saldos de Cartera'!$E$8:$S$343,15,0)</f>
        <v>111339.39</v>
      </c>
      <c r="H59" s="36" t="s">
        <v>42</v>
      </c>
      <c r="I59" s="38">
        <v>45183</v>
      </c>
      <c r="J59" s="44" t="s">
        <v>324</v>
      </c>
      <c r="K59" s="36" t="s">
        <v>43</v>
      </c>
      <c r="L59" s="36" t="s">
        <v>454</v>
      </c>
      <c r="M59" s="36" t="s">
        <v>45</v>
      </c>
      <c r="N59" s="36" t="s">
        <v>126</v>
      </c>
      <c r="O59" s="36" t="s">
        <v>96</v>
      </c>
      <c r="P59" s="36"/>
      <c r="Q59" s="36"/>
      <c r="R59" s="39"/>
      <c r="S59" s="36"/>
      <c r="T59" s="36" t="s">
        <v>327</v>
      </c>
      <c r="U59" s="42">
        <v>45124</v>
      </c>
      <c r="V59" s="36" t="s">
        <v>455</v>
      </c>
      <c r="W59" s="39" t="s">
        <v>88</v>
      </c>
      <c r="X59" s="36" t="s">
        <v>456</v>
      </c>
      <c r="Y59" s="39" t="s">
        <v>457</v>
      </c>
      <c r="Z59" s="36" t="s">
        <v>55</v>
      </c>
      <c r="AA59" s="41">
        <v>46197</v>
      </c>
      <c r="AB59" s="39" t="s">
        <v>56</v>
      </c>
      <c r="AC59" s="36" t="s">
        <v>90</v>
      </c>
      <c r="AD59" s="39" t="s">
        <v>58</v>
      </c>
      <c r="AE59" s="39" t="s">
        <v>91</v>
      </c>
      <c r="AF59" s="39" t="s">
        <v>99</v>
      </c>
      <c r="AG59" s="14"/>
      <c r="AH59" s="14"/>
    </row>
    <row r="60" spans="1:34" ht="15" customHeight="1" x14ac:dyDescent="0.2">
      <c r="A60" s="36" t="s">
        <v>369</v>
      </c>
      <c r="B60" s="36" t="s">
        <v>37</v>
      </c>
      <c r="C60" s="36" t="s">
        <v>38</v>
      </c>
      <c r="D60" s="36" t="s">
        <v>39</v>
      </c>
      <c r="E60" s="36" t="s">
        <v>458</v>
      </c>
      <c r="F60" s="37" t="s">
        <v>459</v>
      </c>
      <c r="G60" s="36">
        <f>VLOOKUP(F60,'[1]Saldos de Cartera'!$E$8:$S$343,15,0)</f>
        <v>20867.05</v>
      </c>
      <c r="H60" s="36" t="s">
        <v>42</v>
      </c>
      <c r="I60" s="38">
        <v>45133</v>
      </c>
      <c r="J60" s="44" t="s">
        <v>2313</v>
      </c>
      <c r="K60" s="36" t="s">
        <v>72</v>
      </c>
      <c r="L60" s="36" t="s">
        <v>460</v>
      </c>
      <c r="M60" s="36" t="s">
        <v>45</v>
      </c>
      <c r="N60" s="36" t="s">
        <v>46</v>
      </c>
      <c r="O60" s="36" t="s">
        <v>96</v>
      </c>
      <c r="P60" s="36"/>
      <c r="Q60" s="36"/>
      <c r="R60" s="39"/>
      <c r="S60" s="36"/>
      <c r="T60" s="36" t="s">
        <v>50</v>
      </c>
      <c r="U60" s="42">
        <v>45131</v>
      </c>
      <c r="V60" s="36" t="s">
        <v>461</v>
      </c>
      <c r="W60" s="39" t="s">
        <v>52</v>
      </c>
      <c r="X60" s="39" t="s">
        <v>96</v>
      </c>
      <c r="Y60" s="39" t="s">
        <v>462</v>
      </c>
      <c r="Z60" s="36" t="s">
        <v>96</v>
      </c>
      <c r="AA60" s="41">
        <v>46197</v>
      </c>
      <c r="AB60" s="39" t="s">
        <v>56</v>
      </c>
      <c r="AC60" s="36" t="s">
        <v>463</v>
      </c>
      <c r="AD60" s="36" t="s">
        <v>69</v>
      </c>
      <c r="AE60" s="39" t="s">
        <v>59</v>
      </c>
      <c r="AF60" s="39" t="s">
        <v>60</v>
      </c>
      <c r="AG60" s="14"/>
      <c r="AH60" s="14"/>
    </row>
    <row r="61" spans="1:34" ht="15" customHeight="1" x14ac:dyDescent="0.2">
      <c r="A61" s="36" t="s">
        <v>369</v>
      </c>
      <c r="B61" s="36" t="s">
        <v>37</v>
      </c>
      <c r="C61" s="36" t="s">
        <v>38</v>
      </c>
      <c r="D61" s="36" t="s">
        <v>39</v>
      </c>
      <c r="E61" s="36" t="s">
        <v>464</v>
      </c>
      <c r="F61" s="37" t="s">
        <v>465</v>
      </c>
      <c r="G61" s="36">
        <f>VLOOKUP(F61,'[1]Saldos de Cartera'!$E$8:$S$343,15,0)</f>
        <v>11756.38</v>
      </c>
      <c r="H61" s="36" t="s">
        <v>42</v>
      </c>
      <c r="I61" s="38">
        <v>45581</v>
      </c>
      <c r="J61" s="44" t="s">
        <v>2314</v>
      </c>
      <c r="K61" s="36" t="s">
        <v>43</v>
      </c>
      <c r="L61" s="36" t="s">
        <v>466</v>
      </c>
      <c r="M61" s="36" t="s">
        <v>74</v>
      </c>
      <c r="N61" s="36" t="s">
        <v>118</v>
      </c>
      <c r="O61" s="36" t="s">
        <v>96</v>
      </c>
      <c r="P61" s="36"/>
      <c r="Q61" s="36"/>
      <c r="R61" s="39"/>
      <c r="S61" s="36"/>
      <c r="T61" s="36" t="s">
        <v>50</v>
      </c>
      <c r="U61" s="41">
        <v>45580</v>
      </c>
      <c r="V61" s="36" t="s">
        <v>467</v>
      </c>
      <c r="W61" s="39" t="s">
        <v>52</v>
      </c>
      <c r="X61" s="39" t="s">
        <v>96</v>
      </c>
      <c r="Y61" s="39" t="s">
        <v>468</v>
      </c>
      <c r="Z61" s="36" t="s">
        <v>96</v>
      </c>
      <c r="AA61" s="41">
        <v>46195</v>
      </c>
      <c r="AB61" s="39" t="s">
        <v>56</v>
      </c>
      <c r="AC61" s="36" t="s">
        <v>90</v>
      </c>
      <c r="AD61" s="36" t="s">
        <v>82</v>
      </c>
      <c r="AE61" s="39" t="s">
        <v>91</v>
      </c>
      <c r="AF61" s="39" t="s">
        <v>99</v>
      </c>
      <c r="AG61" s="14"/>
      <c r="AH61" s="14"/>
    </row>
    <row r="62" spans="1:34" ht="15" customHeight="1" x14ac:dyDescent="0.2">
      <c r="A62" s="36" t="s">
        <v>369</v>
      </c>
      <c r="B62" s="36" t="s">
        <v>37</v>
      </c>
      <c r="C62" s="36" t="s">
        <v>38</v>
      </c>
      <c r="D62" s="36" t="s">
        <v>39</v>
      </c>
      <c r="E62" s="36" t="s">
        <v>469</v>
      </c>
      <c r="F62" s="37" t="s">
        <v>470</v>
      </c>
      <c r="G62" s="36">
        <f>VLOOKUP(F62,'[1]Saldos de Cartera'!$E$8:$S$343,15,0)</f>
        <v>60629.15</v>
      </c>
      <c r="H62" s="36" t="s">
        <v>42</v>
      </c>
      <c r="I62" s="38">
        <v>45220</v>
      </c>
      <c r="J62" s="44" t="s">
        <v>2315</v>
      </c>
      <c r="K62" s="36" t="s">
        <v>72</v>
      </c>
      <c r="L62" s="36" t="s">
        <v>471</v>
      </c>
      <c r="M62" s="36" t="s">
        <v>45</v>
      </c>
      <c r="N62" s="36" t="s">
        <v>385</v>
      </c>
      <c r="O62" s="36" t="s">
        <v>96</v>
      </c>
      <c r="P62" s="36"/>
      <c r="Q62" s="36"/>
      <c r="R62" s="39"/>
      <c r="S62" s="36"/>
      <c r="T62" s="36" t="s">
        <v>50</v>
      </c>
      <c r="U62" s="41">
        <v>45211</v>
      </c>
      <c r="V62" s="36" t="s">
        <v>472</v>
      </c>
      <c r="W62" s="39" t="s">
        <v>52</v>
      </c>
      <c r="X62" s="39" t="s">
        <v>96</v>
      </c>
      <c r="Y62" s="39" t="s">
        <v>473</v>
      </c>
      <c r="Z62" s="36" t="s">
        <v>96</v>
      </c>
      <c r="AA62" s="41">
        <v>46196</v>
      </c>
      <c r="AB62" s="39" t="s">
        <v>56</v>
      </c>
      <c r="AC62" s="36" t="s">
        <v>474</v>
      </c>
      <c r="AD62" s="36" t="s">
        <v>69</v>
      </c>
      <c r="AE62" s="39" t="s">
        <v>59</v>
      </c>
      <c r="AF62" s="39" t="s">
        <v>60</v>
      </c>
      <c r="AG62" s="14"/>
      <c r="AH62" s="14"/>
    </row>
    <row r="63" spans="1:34" ht="15" customHeight="1" x14ac:dyDescent="0.2">
      <c r="A63" s="36" t="s">
        <v>369</v>
      </c>
      <c r="B63" s="36" t="s">
        <v>37</v>
      </c>
      <c r="C63" s="36" t="s">
        <v>38</v>
      </c>
      <c r="D63" s="36" t="s">
        <v>39</v>
      </c>
      <c r="E63" s="36" t="s">
        <v>475</v>
      </c>
      <c r="F63" s="37" t="s">
        <v>476</v>
      </c>
      <c r="G63" s="36">
        <f>VLOOKUP(F63,'[1]Saldos de Cartera'!$E$8:$S$343,15,0)</f>
        <v>0</v>
      </c>
      <c r="H63" s="36" t="s">
        <v>42</v>
      </c>
      <c r="I63" s="38">
        <v>45260</v>
      </c>
      <c r="J63" s="44" t="s">
        <v>2316</v>
      </c>
      <c r="K63" s="36" t="s">
        <v>43</v>
      </c>
      <c r="L63" s="36" t="s">
        <v>477</v>
      </c>
      <c r="M63" s="36" t="s">
        <v>45</v>
      </c>
      <c r="N63" s="36" t="s">
        <v>118</v>
      </c>
      <c r="O63" s="36" t="s">
        <v>47</v>
      </c>
      <c r="P63" s="41">
        <v>45259</v>
      </c>
      <c r="Q63" s="36" t="s">
        <v>478</v>
      </c>
      <c r="R63" s="39">
        <v>135422</v>
      </c>
      <c r="S63" s="39" t="s">
        <v>49</v>
      </c>
      <c r="T63" s="36" t="s">
        <v>50</v>
      </c>
      <c r="U63" s="42">
        <v>45420</v>
      </c>
      <c r="V63" s="36" t="s">
        <v>479</v>
      </c>
      <c r="W63" s="39" t="s">
        <v>88</v>
      </c>
      <c r="X63" s="36" t="s">
        <v>480</v>
      </c>
      <c r="Y63" s="39" t="s">
        <v>481</v>
      </c>
      <c r="Z63" s="36" t="s">
        <v>80</v>
      </c>
      <c r="AA63" s="41">
        <v>46195</v>
      </c>
      <c r="AB63" s="39" t="s">
        <v>56</v>
      </c>
      <c r="AC63" s="36" t="s">
        <v>90</v>
      </c>
      <c r="AD63" s="36" t="s">
        <v>69</v>
      </c>
      <c r="AE63" s="39" t="s">
        <v>91</v>
      </c>
      <c r="AF63" s="39" t="s">
        <v>99</v>
      </c>
      <c r="AG63" s="14"/>
      <c r="AH63" s="14"/>
    </row>
    <row r="64" spans="1:34" ht="15" customHeight="1" x14ac:dyDescent="0.2">
      <c r="A64" s="36" t="s">
        <v>369</v>
      </c>
      <c r="B64" s="36" t="s">
        <v>37</v>
      </c>
      <c r="C64" s="36" t="s">
        <v>38</v>
      </c>
      <c r="D64" s="36" t="s">
        <v>39</v>
      </c>
      <c r="E64" s="36" t="s">
        <v>482</v>
      </c>
      <c r="F64" s="37" t="s">
        <v>483</v>
      </c>
      <c r="G64" s="36">
        <f>VLOOKUP(F64,'[1]Saldos de Cartera'!$E$8:$S$343,15,0)</f>
        <v>300000</v>
      </c>
      <c r="H64" s="36" t="s">
        <v>42</v>
      </c>
      <c r="I64" s="38">
        <v>46020</v>
      </c>
      <c r="J64" s="44" t="s">
        <v>2317</v>
      </c>
      <c r="K64" s="36" t="s">
        <v>43</v>
      </c>
      <c r="L64" s="36" t="s">
        <v>484</v>
      </c>
      <c r="M64" s="36" t="s">
        <v>45</v>
      </c>
      <c r="N64" s="36" t="s">
        <v>485</v>
      </c>
      <c r="O64" s="36" t="s">
        <v>47</v>
      </c>
      <c r="P64" s="43">
        <v>46020</v>
      </c>
      <c r="Q64" s="39" t="s">
        <v>486</v>
      </c>
      <c r="R64" s="39">
        <v>382853</v>
      </c>
      <c r="S64" s="39" t="s">
        <v>49</v>
      </c>
      <c r="T64" s="36" t="s">
        <v>50</v>
      </c>
      <c r="U64" s="40">
        <v>46142</v>
      </c>
      <c r="V64" s="39" t="s">
        <v>487</v>
      </c>
      <c r="W64" s="36" t="s">
        <v>435</v>
      </c>
      <c r="X64" s="39" t="s">
        <v>488</v>
      </c>
      <c r="Y64" s="39" t="s">
        <v>489</v>
      </c>
      <c r="Z64" s="36" t="s">
        <v>55</v>
      </c>
      <c r="AA64" s="43">
        <v>46188</v>
      </c>
      <c r="AB64" s="39" t="s">
        <v>56</v>
      </c>
      <c r="AC64" s="36" t="s">
        <v>68</v>
      </c>
      <c r="AD64" s="39" t="s">
        <v>69</v>
      </c>
      <c r="AE64" s="39" t="s">
        <v>59</v>
      </c>
      <c r="AF64" s="39" t="s">
        <v>60</v>
      </c>
      <c r="AG64" s="14"/>
      <c r="AH64" s="14"/>
    </row>
    <row r="65" spans="1:34" ht="15" customHeight="1" x14ac:dyDescent="0.2">
      <c r="A65" s="36" t="s">
        <v>369</v>
      </c>
      <c r="B65" s="36" t="s">
        <v>37</v>
      </c>
      <c r="C65" s="36" t="s">
        <v>38</v>
      </c>
      <c r="D65" s="36" t="s">
        <v>39</v>
      </c>
      <c r="E65" s="36" t="s">
        <v>490</v>
      </c>
      <c r="F65" s="37" t="s">
        <v>491</v>
      </c>
      <c r="G65" s="36">
        <f>VLOOKUP(F65,'[1]Saldos de Cartera'!$E$8:$S$343,15,0)</f>
        <v>27344.7</v>
      </c>
      <c r="H65" s="36" t="s">
        <v>42</v>
      </c>
      <c r="I65" s="38">
        <v>45483</v>
      </c>
      <c r="J65" s="44" t="s">
        <v>2318</v>
      </c>
      <c r="K65" s="36" t="s">
        <v>43</v>
      </c>
      <c r="L65" s="36" t="s">
        <v>492</v>
      </c>
      <c r="M65" s="36" t="s">
        <v>45</v>
      </c>
      <c r="N65" s="36" t="s">
        <v>118</v>
      </c>
      <c r="O65" s="36" t="s">
        <v>96</v>
      </c>
      <c r="P65" s="36"/>
      <c r="Q65" s="36"/>
      <c r="R65" s="39"/>
      <c r="S65" s="36"/>
      <c r="T65" s="36" t="s">
        <v>50</v>
      </c>
      <c r="U65" s="42">
        <v>45490</v>
      </c>
      <c r="V65" s="36" t="s">
        <v>493</v>
      </c>
      <c r="W65" s="39" t="s">
        <v>52</v>
      </c>
      <c r="X65" s="39" t="s">
        <v>96</v>
      </c>
      <c r="Y65" s="39" t="s">
        <v>494</v>
      </c>
      <c r="Z65" s="36" t="s">
        <v>96</v>
      </c>
      <c r="AA65" s="41">
        <v>46197</v>
      </c>
      <c r="AB65" s="39" t="s">
        <v>56</v>
      </c>
      <c r="AC65" s="36" t="s">
        <v>495</v>
      </c>
      <c r="AD65" s="36" t="s">
        <v>69</v>
      </c>
      <c r="AE65" s="39" t="s">
        <v>91</v>
      </c>
      <c r="AF65" s="39" t="s">
        <v>60</v>
      </c>
      <c r="AG65" s="14"/>
      <c r="AH65" s="14"/>
    </row>
    <row r="66" spans="1:34" ht="15" customHeight="1" x14ac:dyDescent="0.2">
      <c r="A66" s="36" t="s">
        <v>369</v>
      </c>
      <c r="B66" s="36" t="s">
        <v>37</v>
      </c>
      <c r="C66" s="36" t="s">
        <v>38</v>
      </c>
      <c r="D66" s="36" t="s">
        <v>39</v>
      </c>
      <c r="E66" s="36" t="s">
        <v>496</v>
      </c>
      <c r="F66" s="37" t="s">
        <v>497</v>
      </c>
      <c r="G66" s="36">
        <f>VLOOKUP(F66,'[1]Saldos de Cartera'!$E$8:$S$343,15,0)</f>
        <v>8871.77</v>
      </c>
      <c r="H66" s="36" t="s">
        <v>42</v>
      </c>
      <c r="I66" s="38">
        <v>45220</v>
      </c>
      <c r="J66" s="44" t="s">
        <v>2319</v>
      </c>
      <c r="K66" s="36" t="s">
        <v>72</v>
      </c>
      <c r="L66" s="36" t="s">
        <v>498</v>
      </c>
      <c r="M66" s="36" t="s">
        <v>45</v>
      </c>
      <c r="N66" s="36" t="s">
        <v>499</v>
      </c>
      <c r="O66" s="36" t="s">
        <v>96</v>
      </c>
      <c r="P66" s="36"/>
      <c r="Q66" s="36"/>
      <c r="R66" s="39"/>
      <c r="S66" s="36"/>
      <c r="T66" s="36" t="s">
        <v>50</v>
      </c>
      <c r="U66" s="41">
        <v>45211</v>
      </c>
      <c r="V66" s="36" t="s">
        <v>500</v>
      </c>
      <c r="W66" s="39" t="s">
        <v>52</v>
      </c>
      <c r="X66" s="39" t="s">
        <v>96</v>
      </c>
      <c r="Y66" s="39" t="s">
        <v>2546</v>
      </c>
      <c r="Z66" s="36" t="s">
        <v>96</v>
      </c>
      <c r="AA66" s="41">
        <v>46196</v>
      </c>
      <c r="AB66" s="39" t="s">
        <v>56</v>
      </c>
      <c r="AC66" s="36" t="s">
        <v>501</v>
      </c>
      <c r="AD66" s="36" t="s">
        <v>69</v>
      </c>
      <c r="AE66" s="39" t="s">
        <v>59</v>
      </c>
      <c r="AF66" s="39" t="s">
        <v>60</v>
      </c>
      <c r="AG66" s="14"/>
      <c r="AH66" s="14"/>
    </row>
    <row r="67" spans="1:34" ht="15" customHeight="1" x14ac:dyDescent="0.2">
      <c r="A67" s="36" t="s">
        <v>369</v>
      </c>
      <c r="B67" s="36" t="s">
        <v>37</v>
      </c>
      <c r="C67" s="36" t="s">
        <v>38</v>
      </c>
      <c r="D67" s="36" t="s">
        <v>39</v>
      </c>
      <c r="E67" s="36" t="s">
        <v>502</v>
      </c>
      <c r="F67" s="37" t="s">
        <v>503</v>
      </c>
      <c r="G67" s="36">
        <f>VLOOKUP(F67,'[1]Saldos de Cartera'!$E$8:$S$343,15,0)</f>
        <v>95887.54</v>
      </c>
      <c r="H67" s="36" t="s">
        <v>42</v>
      </c>
      <c r="I67" s="38">
        <v>45077</v>
      </c>
      <c r="J67" s="44" t="s">
        <v>2320</v>
      </c>
      <c r="K67" s="36" t="s">
        <v>72</v>
      </c>
      <c r="L67" s="36" t="s">
        <v>504</v>
      </c>
      <c r="M67" s="36" t="s">
        <v>45</v>
      </c>
      <c r="N67" s="36" t="s">
        <v>505</v>
      </c>
      <c r="O67" s="36" t="s">
        <v>96</v>
      </c>
      <c r="P67" s="36"/>
      <c r="Q67" s="36"/>
      <c r="R67" s="39"/>
      <c r="S67" s="36"/>
      <c r="T67" s="36" t="s">
        <v>50</v>
      </c>
      <c r="U67" s="42">
        <v>45069</v>
      </c>
      <c r="V67" s="36" t="s">
        <v>506</v>
      </c>
      <c r="W67" s="39" t="s">
        <v>52</v>
      </c>
      <c r="X67" s="39" t="s">
        <v>96</v>
      </c>
      <c r="Y67" s="39" t="s">
        <v>507</v>
      </c>
      <c r="Z67" s="36" t="s">
        <v>96</v>
      </c>
      <c r="AA67" s="41">
        <v>46195</v>
      </c>
      <c r="AB67" s="39" t="s">
        <v>56</v>
      </c>
      <c r="AC67" s="36" t="s">
        <v>68</v>
      </c>
      <c r="AD67" s="36" t="s">
        <v>69</v>
      </c>
      <c r="AE67" s="39" t="s">
        <v>59</v>
      </c>
      <c r="AF67" s="39" t="s">
        <v>60</v>
      </c>
      <c r="AG67" s="14"/>
      <c r="AH67" s="14"/>
    </row>
    <row r="68" spans="1:34" ht="15" customHeight="1" x14ac:dyDescent="0.2">
      <c r="A68" s="36" t="s">
        <v>369</v>
      </c>
      <c r="B68" s="36" t="s">
        <v>37</v>
      </c>
      <c r="C68" s="36" t="s">
        <v>38</v>
      </c>
      <c r="D68" s="36" t="s">
        <v>39</v>
      </c>
      <c r="E68" s="36" t="s">
        <v>508</v>
      </c>
      <c r="F68" s="37" t="s">
        <v>509</v>
      </c>
      <c r="G68" s="36">
        <f>VLOOKUP(F68,'[1]Saldos de Cartera'!$E$8:$S$343,15,0)</f>
        <v>88504.66</v>
      </c>
      <c r="H68" s="36" t="s">
        <v>42</v>
      </c>
      <c r="I68" s="38">
        <v>45199</v>
      </c>
      <c r="J68" s="44" t="s">
        <v>2321</v>
      </c>
      <c r="K68" s="36" t="s">
        <v>72</v>
      </c>
      <c r="L68" s="36" t="s">
        <v>510</v>
      </c>
      <c r="M68" s="36" t="s">
        <v>45</v>
      </c>
      <c r="N68" s="36" t="s">
        <v>511</v>
      </c>
      <c r="O68" s="36" t="s">
        <v>96</v>
      </c>
      <c r="P68" s="36"/>
      <c r="Q68" s="36"/>
      <c r="R68" s="39"/>
      <c r="S68" s="36"/>
      <c r="T68" s="36" t="s">
        <v>50</v>
      </c>
      <c r="U68" s="42">
        <v>45191</v>
      </c>
      <c r="V68" s="36" t="s">
        <v>512</v>
      </c>
      <c r="W68" s="39" t="s">
        <v>52</v>
      </c>
      <c r="X68" s="39" t="s">
        <v>96</v>
      </c>
      <c r="Y68" s="39" t="s">
        <v>513</v>
      </c>
      <c r="Z68" s="36" t="s">
        <v>96</v>
      </c>
      <c r="AA68" s="41">
        <v>46196</v>
      </c>
      <c r="AB68" s="39" t="s">
        <v>56</v>
      </c>
      <c r="AC68" s="36" t="s">
        <v>514</v>
      </c>
      <c r="AD68" s="36" t="s">
        <v>69</v>
      </c>
      <c r="AE68" s="39" t="s">
        <v>59</v>
      </c>
      <c r="AF68" s="39" t="s">
        <v>60</v>
      </c>
      <c r="AG68" s="14"/>
      <c r="AH68" s="14"/>
    </row>
    <row r="69" spans="1:34" ht="15" customHeight="1" x14ac:dyDescent="0.2">
      <c r="A69" s="36" t="s">
        <v>369</v>
      </c>
      <c r="B69" s="36" t="s">
        <v>37</v>
      </c>
      <c r="C69" s="36" t="s">
        <v>38</v>
      </c>
      <c r="D69" s="36" t="s">
        <v>39</v>
      </c>
      <c r="E69" s="36" t="s">
        <v>515</v>
      </c>
      <c r="F69" s="37" t="s">
        <v>516</v>
      </c>
      <c r="G69" s="36">
        <f>VLOOKUP(F69,'[1]Saldos de Cartera'!$E$8:$S$343,15,0)</f>
        <v>41251.360000000001</v>
      </c>
      <c r="H69" s="36" t="s">
        <v>42</v>
      </c>
      <c r="I69" s="38">
        <v>45076</v>
      </c>
      <c r="J69" s="44" t="s">
        <v>2322</v>
      </c>
      <c r="K69" s="36" t="s">
        <v>72</v>
      </c>
      <c r="L69" s="36" t="s">
        <v>517</v>
      </c>
      <c r="M69" s="36" t="s">
        <v>45</v>
      </c>
      <c r="N69" s="36" t="s">
        <v>406</v>
      </c>
      <c r="O69" s="36" t="s">
        <v>96</v>
      </c>
      <c r="P69" s="36"/>
      <c r="Q69" s="36"/>
      <c r="R69" s="39"/>
      <c r="S69" s="36"/>
      <c r="T69" s="36" t="s">
        <v>50</v>
      </c>
      <c r="U69" s="42">
        <v>45068</v>
      </c>
      <c r="V69" s="36" t="s">
        <v>518</v>
      </c>
      <c r="W69" s="39" t="s">
        <v>52</v>
      </c>
      <c r="X69" s="39" t="s">
        <v>96</v>
      </c>
      <c r="Y69" s="39" t="s">
        <v>519</v>
      </c>
      <c r="Z69" s="36" t="s">
        <v>96</v>
      </c>
      <c r="AA69" s="41">
        <v>46197</v>
      </c>
      <c r="AB69" s="39" t="s">
        <v>56</v>
      </c>
      <c r="AC69" s="36" t="s">
        <v>68</v>
      </c>
      <c r="AD69" s="36" t="s">
        <v>69</v>
      </c>
      <c r="AE69" s="39" t="s">
        <v>59</v>
      </c>
      <c r="AF69" s="39" t="s">
        <v>60</v>
      </c>
      <c r="AG69" s="14"/>
      <c r="AH69" s="14"/>
    </row>
    <row r="70" spans="1:34" ht="15" customHeight="1" x14ac:dyDescent="0.2">
      <c r="A70" s="36" t="s">
        <v>369</v>
      </c>
      <c r="B70" s="36" t="s">
        <v>37</v>
      </c>
      <c r="C70" s="36" t="s">
        <v>38</v>
      </c>
      <c r="D70" s="36" t="s">
        <v>39</v>
      </c>
      <c r="E70" s="36" t="s">
        <v>520</v>
      </c>
      <c r="F70" s="37" t="s">
        <v>521</v>
      </c>
      <c r="G70" s="36">
        <f>VLOOKUP(F70,'[1]Saldos de Cartera'!$E$8:$S$343,15,0)</f>
        <v>23457.200000000001</v>
      </c>
      <c r="H70" s="36" t="s">
        <v>42</v>
      </c>
      <c r="I70" s="38">
        <v>45260</v>
      </c>
      <c r="J70" s="44" t="s">
        <v>2323</v>
      </c>
      <c r="K70" s="36" t="s">
        <v>43</v>
      </c>
      <c r="L70" s="36" t="s">
        <v>522</v>
      </c>
      <c r="M70" s="36" t="s">
        <v>45</v>
      </c>
      <c r="N70" s="36" t="s">
        <v>118</v>
      </c>
      <c r="O70" s="36" t="s">
        <v>47</v>
      </c>
      <c r="P70" s="41">
        <v>45259</v>
      </c>
      <c r="Q70" s="36" t="s">
        <v>523</v>
      </c>
      <c r="R70" s="39"/>
      <c r="S70" s="39" t="s">
        <v>49</v>
      </c>
      <c r="T70" s="36" t="s">
        <v>50</v>
      </c>
      <c r="U70" s="42">
        <v>45308</v>
      </c>
      <c r="V70" s="36" t="s">
        <v>524</v>
      </c>
      <c r="W70" s="39" t="s">
        <v>52</v>
      </c>
      <c r="X70" s="36" t="s">
        <v>525</v>
      </c>
      <c r="Y70" s="39" t="s">
        <v>526</v>
      </c>
      <c r="Z70" s="36" t="s">
        <v>55</v>
      </c>
      <c r="AA70" s="41">
        <v>46195</v>
      </c>
      <c r="AB70" s="39" t="s">
        <v>56</v>
      </c>
      <c r="AC70" s="36" t="s">
        <v>527</v>
      </c>
      <c r="AD70" s="36" t="s">
        <v>69</v>
      </c>
      <c r="AE70" s="39" t="s">
        <v>59</v>
      </c>
      <c r="AF70" s="39" t="s">
        <v>60</v>
      </c>
      <c r="AG70" s="14"/>
      <c r="AH70" s="14"/>
    </row>
    <row r="71" spans="1:34" ht="15" customHeight="1" x14ac:dyDescent="0.2">
      <c r="A71" s="36" t="s">
        <v>369</v>
      </c>
      <c r="B71" s="36" t="s">
        <v>37</v>
      </c>
      <c r="C71" s="36" t="s">
        <v>38</v>
      </c>
      <c r="D71" s="36" t="s">
        <v>39</v>
      </c>
      <c r="E71" s="36" t="s">
        <v>528</v>
      </c>
      <c r="F71" s="37" t="s">
        <v>529</v>
      </c>
      <c r="G71" s="36">
        <f>VLOOKUP(F71,'[1]Saldos de Cartera'!$E$8:$S$343,15,0)</f>
        <v>99900</v>
      </c>
      <c r="H71" s="36" t="s">
        <v>42</v>
      </c>
      <c r="I71" s="38">
        <v>45199</v>
      </c>
      <c r="J71" s="44" t="s">
        <v>2324</v>
      </c>
      <c r="K71" s="36" t="s">
        <v>72</v>
      </c>
      <c r="L71" s="36" t="s">
        <v>530</v>
      </c>
      <c r="M71" s="36" t="s">
        <v>45</v>
      </c>
      <c r="N71" s="36" t="s">
        <v>421</v>
      </c>
      <c r="O71" s="36" t="s">
        <v>96</v>
      </c>
      <c r="P71" s="36"/>
      <c r="Q71" s="36"/>
      <c r="R71" s="39"/>
      <c r="S71" s="36"/>
      <c r="T71" s="36" t="s">
        <v>50</v>
      </c>
      <c r="U71" s="42">
        <v>45191</v>
      </c>
      <c r="V71" s="36" t="s">
        <v>531</v>
      </c>
      <c r="W71" s="39" t="s">
        <v>52</v>
      </c>
      <c r="X71" s="39" t="s">
        <v>96</v>
      </c>
      <c r="Y71" s="39" t="s">
        <v>532</v>
      </c>
      <c r="Z71" s="36" t="s">
        <v>96</v>
      </c>
      <c r="AA71" s="41">
        <v>46196</v>
      </c>
      <c r="AB71" s="39" t="s">
        <v>56</v>
      </c>
      <c r="AC71" s="36" t="s">
        <v>533</v>
      </c>
      <c r="AD71" s="36" t="s">
        <v>69</v>
      </c>
      <c r="AE71" s="39" t="s">
        <v>59</v>
      </c>
      <c r="AF71" s="39" t="s">
        <v>60</v>
      </c>
      <c r="AG71" s="14"/>
      <c r="AH71" s="14"/>
    </row>
    <row r="72" spans="1:34" ht="15" customHeight="1" x14ac:dyDescent="0.2">
      <c r="A72" s="36" t="s">
        <v>369</v>
      </c>
      <c r="B72" s="36" t="s">
        <v>37</v>
      </c>
      <c r="C72" s="36" t="s">
        <v>38</v>
      </c>
      <c r="D72" s="36" t="s">
        <v>39</v>
      </c>
      <c r="E72" s="36" t="s">
        <v>534</v>
      </c>
      <c r="F72" s="37" t="s">
        <v>535</v>
      </c>
      <c r="G72" s="36">
        <f>VLOOKUP(F72,'[1]Saldos de Cartera'!$E$8:$S$343,15,0)</f>
        <v>19200</v>
      </c>
      <c r="H72" s="36" t="s">
        <v>42</v>
      </c>
      <c r="I72" s="38">
        <v>45077</v>
      </c>
      <c r="J72" s="44" t="s">
        <v>2325</v>
      </c>
      <c r="K72" s="36" t="s">
        <v>43</v>
      </c>
      <c r="L72" s="36" t="s">
        <v>536</v>
      </c>
      <c r="M72" s="36" t="s">
        <v>45</v>
      </c>
      <c r="N72" s="36" t="s">
        <v>46</v>
      </c>
      <c r="O72" s="36" t="s">
        <v>47</v>
      </c>
      <c r="P72" s="42">
        <v>45715</v>
      </c>
      <c r="Q72" s="36" t="s">
        <v>537</v>
      </c>
      <c r="R72" s="39">
        <v>38470</v>
      </c>
      <c r="S72" s="39" t="s">
        <v>49</v>
      </c>
      <c r="T72" s="36" t="s">
        <v>50</v>
      </c>
      <c r="U72" s="42">
        <v>45069</v>
      </c>
      <c r="V72" s="36" t="s">
        <v>538</v>
      </c>
      <c r="W72" s="39" t="s">
        <v>52</v>
      </c>
      <c r="X72" s="36" t="s">
        <v>539</v>
      </c>
      <c r="Y72" s="39" t="s">
        <v>540</v>
      </c>
      <c r="Z72" s="36" t="s">
        <v>55</v>
      </c>
      <c r="AA72" s="41">
        <v>46196</v>
      </c>
      <c r="AB72" s="39" t="s">
        <v>56</v>
      </c>
      <c r="AC72" s="36" t="s">
        <v>541</v>
      </c>
      <c r="AD72" s="36" t="s">
        <v>69</v>
      </c>
      <c r="AE72" s="39" t="s">
        <v>59</v>
      </c>
      <c r="AF72" s="39" t="s">
        <v>60</v>
      </c>
      <c r="AG72" s="14"/>
      <c r="AH72" s="14"/>
    </row>
    <row r="73" spans="1:34" ht="15" customHeight="1" x14ac:dyDescent="0.2">
      <c r="A73" s="36" t="s">
        <v>369</v>
      </c>
      <c r="B73" s="36" t="s">
        <v>37</v>
      </c>
      <c r="C73" s="36" t="s">
        <v>38</v>
      </c>
      <c r="D73" s="36" t="s">
        <v>39</v>
      </c>
      <c r="E73" s="36" t="s">
        <v>542</v>
      </c>
      <c r="F73" s="37" t="s">
        <v>543</v>
      </c>
      <c r="G73" s="36">
        <f>VLOOKUP(F73,'[1]Saldos de Cartera'!$E$8:$S$343,15,0)</f>
        <v>16647.25</v>
      </c>
      <c r="H73" s="36" t="s">
        <v>42</v>
      </c>
      <c r="I73" s="38">
        <v>45381</v>
      </c>
      <c r="J73" s="44" t="s">
        <v>2326</v>
      </c>
      <c r="K73" s="36" t="s">
        <v>72</v>
      </c>
      <c r="L73" s="36" t="s">
        <v>544</v>
      </c>
      <c r="M73" s="36" t="s">
        <v>45</v>
      </c>
      <c r="N73" s="36" t="s">
        <v>499</v>
      </c>
      <c r="O73" s="36" t="s">
        <v>96</v>
      </c>
      <c r="P73" s="36"/>
      <c r="Q73" s="36"/>
      <c r="R73" s="39"/>
      <c r="S73" s="36"/>
      <c r="T73" s="36" t="s">
        <v>50</v>
      </c>
      <c r="U73" s="42">
        <v>45378</v>
      </c>
      <c r="V73" s="36" t="s">
        <v>545</v>
      </c>
      <c r="W73" s="39" t="s">
        <v>88</v>
      </c>
      <c r="X73" s="39" t="s">
        <v>96</v>
      </c>
      <c r="Y73" s="39" t="s">
        <v>546</v>
      </c>
      <c r="Z73" s="36" t="s">
        <v>96</v>
      </c>
      <c r="AA73" s="41">
        <v>46197</v>
      </c>
      <c r="AB73" s="39" t="s">
        <v>56</v>
      </c>
      <c r="AC73" s="36" t="s">
        <v>547</v>
      </c>
      <c r="AD73" s="36" t="s">
        <v>69</v>
      </c>
      <c r="AE73" s="39" t="s">
        <v>59</v>
      </c>
      <c r="AF73" s="39" t="s">
        <v>60</v>
      </c>
      <c r="AG73" s="14"/>
      <c r="AH73" s="14"/>
    </row>
    <row r="74" spans="1:34" ht="15" customHeight="1" x14ac:dyDescent="0.2">
      <c r="A74" s="36" t="s">
        <v>369</v>
      </c>
      <c r="B74" s="36" t="s">
        <v>37</v>
      </c>
      <c r="C74" s="36" t="s">
        <v>38</v>
      </c>
      <c r="D74" s="36" t="s">
        <v>39</v>
      </c>
      <c r="E74" s="36" t="s">
        <v>548</v>
      </c>
      <c r="F74" s="37" t="s">
        <v>549</v>
      </c>
      <c r="G74" s="36">
        <f>VLOOKUP(F74,'[1]Saldos de Cartera'!$E$8:$S$343,15,0)</f>
        <v>81027.210000000006</v>
      </c>
      <c r="H74" s="36" t="s">
        <v>42</v>
      </c>
      <c r="I74" s="38">
        <v>45559</v>
      </c>
      <c r="J74" s="44" t="s">
        <v>2327</v>
      </c>
      <c r="K74" s="36" t="s">
        <v>43</v>
      </c>
      <c r="L74" s="36" t="s">
        <v>550</v>
      </c>
      <c r="M74" s="36" t="s">
        <v>45</v>
      </c>
      <c r="N74" s="36" t="s">
        <v>406</v>
      </c>
      <c r="O74" s="36" t="s">
        <v>47</v>
      </c>
      <c r="P74" s="42">
        <v>45707</v>
      </c>
      <c r="Q74" s="36" t="s">
        <v>551</v>
      </c>
      <c r="R74" s="39">
        <v>331856</v>
      </c>
      <c r="S74" s="39" t="s">
        <v>49</v>
      </c>
      <c r="T74" s="36" t="s">
        <v>50</v>
      </c>
      <c r="U74" s="41">
        <v>45950</v>
      </c>
      <c r="V74" s="36" t="s">
        <v>552</v>
      </c>
      <c r="W74" s="39" t="s">
        <v>88</v>
      </c>
      <c r="X74" s="36" t="s">
        <v>553</v>
      </c>
      <c r="Y74" s="39" t="s">
        <v>554</v>
      </c>
      <c r="Z74" s="36" t="s">
        <v>55</v>
      </c>
      <c r="AA74" s="41">
        <v>46195</v>
      </c>
      <c r="AB74" s="39" t="s">
        <v>56</v>
      </c>
      <c r="AC74" s="36" t="s">
        <v>555</v>
      </c>
      <c r="AD74" s="36" t="s">
        <v>82</v>
      </c>
      <c r="AE74" s="39" t="s">
        <v>59</v>
      </c>
      <c r="AF74" s="39" t="s">
        <v>60</v>
      </c>
      <c r="AG74" s="14"/>
      <c r="AH74" s="14"/>
    </row>
    <row r="75" spans="1:34" ht="15" customHeight="1" x14ac:dyDescent="0.2">
      <c r="A75" s="36" t="s">
        <v>369</v>
      </c>
      <c r="B75" s="36" t="s">
        <v>37</v>
      </c>
      <c r="C75" s="36" t="s">
        <v>38</v>
      </c>
      <c r="D75" s="36" t="s">
        <v>39</v>
      </c>
      <c r="E75" s="36" t="s">
        <v>556</v>
      </c>
      <c r="F75" s="37" t="s">
        <v>557</v>
      </c>
      <c r="G75" s="36">
        <f>VLOOKUP(F75,'[1]Saldos de Cartera'!$E$8:$S$343,15,0)</f>
        <v>36589.370000000003</v>
      </c>
      <c r="H75" s="36" t="s">
        <v>42</v>
      </c>
      <c r="I75" s="38">
        <v>45832</v>
      </c>
      <c r="J75" s="44" t="s">
        <v>2328</v>
      </c>
      <c r="K75" s="36" t="s">
        <v>43</v>
      </c>
      <c r="L75" s="36" t="s">
        <v>558</v>
      </c>
      <c r="M75" s="36" t="s">
        <v>45</v>
      </c>
      <c r="N75" s="36" t="s">
        <v>126</v>
      </c>
      <c r="O75" s="36" t="s">
        <v>47</v>
      </c>
      <c r="P75" s="40">
        <v>45832</v>
      </c>
      <c r="Q75" s="39" t="s">
        <v>559</v>
      </c>
      <c r="R75" s="39">
        <v>628195</v>
      </c>
      <c r="S75" s="39" t="s">
        <v>49</v>
      </c>
      <c r="T75" s="36" t="s">
        <v>50</v>
      </c>
      <c r="U75" s="40">
        <v>46083</v>
      </c>
      <c r="V75" s="39" t="s">
        <v>560</v>
      </c>
      <c r="W75" s="39" t="s">
        <v>52</v>
      </c>
      <c r="X75" s="39" t="s">
        <v>561</v>
      </c>
      <c r="Y75" s="39" t="s">
        <v>562</v>
      </c>
      <c r="Z75" s="36" t="s">
        <v>55</v>
      </c>
      <c r="AA75" s="41">
        <v>46196</v>
      </c>
      <c r="AB75" s="39" t="s">
        <v>56</v>
      </c>
      <c r="AC75" s="39" t="s">
        <v>563</v>
      </c>
      <c r="AD75" s="39" t="s">
        <v>58</v>
      </c>
      <c r="AE75" s="39" t="s">
        <v>91</v>
      </c>
      <c r="AF75" s="39" t="s">
        <v>99</v>
      </c>
      <c r="AG75" s="14"/>
      <c r="AH75" s="14"/>
    </row>
    <row r="76" spans="1:34" ht="15" customHeight="1" x14ac:dyDescent="0.2">
      <c r="A76" s="36" t="s">
        <v>369</v>
      </c>
      <c r="B76" s="36" t="s">
        <v>37</v>
      </c>
      <c r="C76" s="36" t="s">
        <v>38</v>
      </c>
      <c r="D76" s="36" t="s">
        <v>39</v>
      </c>
      <c r="E76" s="36" t="s">
        <v>564</v>
      </c>
      <c r="F76" s="37" t="s">
        <v>565</v>
      </c>
      <c r="G76" s="36">
        <f>VLOOKUP(F76,'[1]Saldos de Cartera'!$E$8:$S$343,15,0)</f>
        <v>74168.22</v>
      </c>
      <c r="H76" s="36" t="s">
        <v>42</v>
      </c>
      <c r="I76" s="38">
        <v>45220</v>
      </c>
      <c r="J76" s="44" t="s">
        <v>2329</v>
      </c>
      <c r="K76" s="36" t="s">
        <v>72</v>
      </c>
      <c r="L76" s="36" t="s">
        <v>566</v>
      </c>
      <c r="M76" s="36" t="s">
        <v>45</v>
      </c>
      <c r="N76" s="36" t="s">
        <v>505</v>
      </c>
      <c r="O76" s="36" t="s">
        <v>96</v>
      </c>
      <c r="P76" s="36"/>
      <c r="Q76" s="36"/>
      <c r="R76" s="39"/>
      <c r="S76" s="36"/>
      <c r="T76" s="36" t="s">
        <v>50</v>
      </c>
      <c r="U76" s="41">
        <v>45211</v>
      </c>
      <c r="V76" s="36" t="s">
        <v>567</v>
      </c>
      <c r="W76" s="39" t="s">
        <v>52</v>
      </c>
      <c r="X76" s="39" t="s">
        <v>96</v>
      </c>
      <c r="Y76" s="39" t="s">
        <v>568</v>
      </c>
      <c r="Z76" s="36" t="s">
        <v>96</v>
      </c>
      <c r="AA76" s="41">
        <v>46196</v>
      </c>
      <c r="AB76" s="39" t="s">
        <v>56</v>
      </c>
      <c r="AC76" s="36" t="s">
        <v>569</v>
      </c>
      <c r="AD76" s="36" t="s">
        <v>69</v>
      </c>
      <c r="AE76" s="39" t="s">
        <v>59</v>
      </c>
      <c r="AF76" s="39" t="s">
        <v>60</v>
      </c>
      <c r="AG76" s="14"/>
      <c r="AH76" s="14"/>
    </row>
    <row r="77" spans="1:34" ht="15" customHeight="1" x14ac:dyDescent="0.2">
      <c r="A77" s="36" t="s">
        <v>369</v>
      </c>
      <c r="B77" s="36" t="s">
        <v>37</v>
      </c>
      <c r="C77" s="36" t="s">
        <v>38</v>
      </c>
      <c r="D77" s="36" t="s">
        <v>39</v>
      </c>
      <c r="E77" s="36" t="s">
        <v>570</v>
      </c>
      <c r="F77" s="37" t="s">
        <v>571</v>
      </c>
      <c r="G77" s="36">
        <f>VLOOKUP(F77,'[1]Saldos de Cartera'!$E$8:$S$343,15,0)</f>
        <v>43723.13</v>
      </c>
      <c r="H77" s="36" t="s">
        <v>42</v>
      </c>
      <c r="I77" s="38">
        <v>45614</v>
      </c>
      <c r="J77" s="44" t="s">
        <v>2330</v>
      </c>
      <c r="K77" s="36" t="s">
        <v>43</v>
      </c>
      <c r="L77" s="36" t="s">
        <v>572</v>
      </c>
      <c r="M77" s="36" t="s">
        <v>45</v>
      </c>
      <c r="N77" s="36" t="s">
        <v>278</v>
      </c>
      <c r="O77" s="36" t="s">
        <v>47</v>
      </c>
      <c r="P77" s="41">
        <v>45610</v>
      </c>
      <c r="Q77" s="36" t="s">
        <v>573</v>
      </c>
      <c r="R77" s="39">
        <v>217253</v>
      </c>
      <c r="S77" s="36" t="s">
        <v>66</v>
      </c>
      <c r="T77" s="36"/>
      <c r="U77" s="36"/>
      <c r="V77" s="36"/>
      <c r="W77" s="36"/>
      <c r="X77" s="36" t="s">
        <v>574</v>
      </c>
      <c r="Y77" s="39"/>
      <c r="Z77" s="36" t="s">
        <v>80</v>
      </c>
      <c r="AA77" s="41">
        <v>46195</v>
      </c>
      <c r="AB77" s="39" t="s">
        <v>56</v>
      </c>
      <c r="AC77" s="36" t="s">
        <v>575</v>
      </c>
      <c r="AD77" s="36" t="s">
        <v>69</v>
      </c>
      <c r="AE77" s="39" t="s">
        <v>91</v>
      </c>
      <c r="AF77" s="39" t="s">
        <v>99</v>
      </c>
      <c r="AG77" s="14"/>
      <c r="AH77" s="14"/>
    </row>
    <row r="78" spans="1:34" ht="15" customHeight="1" x14ac:dyDescent="0.2">
      <c r="A78" s="36" t="s">
        <v>369</v>
      </c>
      <c r="B78" s="36" t="s">
        <v>37</v>
      </c>
      <c r="C78" s="36" t="s">
        <v>38</v>
      </c>
      <c r="D78" s="36" t="s">
        <v>39</v>
      </c>
      <c r="E78" s="36" t="s">
        <v>576</v>
      </c>
      <c r="F78" s="37" t="s">
        <v>577</v>
      </c>
      <c r="G78" s="36">
        <f>VLOOKUP(F78,'[1]Saldos de Cartera'!$E$8:$S$343,15,0)</f>
        <v>7956.3</v>
      </c>
      <c r="H78" s="36" t="s">
        <v>42</v>
      </c>
      <c r="I78" s="38">
        <v>45750</v>
      </c>
      <c r="J78" s="44" t="s">
        <v>2331</v>
      </c>
      <c r="K78" s="36" t="s">
        <v>43</v>
      </c>
      <c r="L78" s="36" t="s">
        <v>578</v>
      </c>
      <c r="M78" s="36" t="s">
        <v>45</v>
      </c>
      <c r="N78" s="36" t="s">
        <v>118</v>
      </c>
      <c r="O78" s="36" t="s">
        <v>47</v>
      </c>
      <c r="P78" s="40">
        <v>45722</v>
      </c>
      <c r="Q78" s="39" t="s">
        <v>579</v>
      </c>
      <c r="R78" s="39">
        <v>258182</v>
      </c>
      <c r="S78" s="39" t="s">
        <v>49</v>
      </c>
      <c r="T78" s="36" t="s">
        <v>50</v>
      </c>
      <c r="U78" s="40">
        <v>45834</v>
      </c>
      <c r="V78" s="39" t="s">
        <v>580</v>
      </c>
      <c r="W78" s="39" t="s">
        <v>52</v>
      </c>
      <c r="X78" s="39" t="s">
        <v>581</v>
      </c>
      <c r="Y78" s="39" t="s">
        <v>582</v>
      </c>
      <c r="Z78" s="36" t="s">
        <v>55</v>
      </c>
      <c r="AA78" s="41">
        <v>46195</v>
      </c>
      <c r="AB78" s="39" t="s">
        <v>56</v>
      </c>
      <c r="AC78" s="36" t="s">
        <v>575</v>
      </c>
      <c r="AD78" s="36" t="s">
        <v>69</v>
      </c>
      <c r="AE78" s="39" t="s">
        <v>91</v>
      </c>
      <c r="AF78" s="39" t="s">
        <v>99</v>
      </c>
      <c r="AG78" s="14"/>
      <c r="AH78" s="14"/>
    </row>
    <row r="79" spans="1:34" ht="15" customHeight="1" x14ac:dyDescent="0.2">
      <c r="A79" s="36" t="s">
        <v>369</v>
      </c>
      <c r="B79" s="36" t="s">
        <v>37</v>
      </c>
      <c r="C79" s="36" t="s">
        <v>38</v>
      </c>
      <c r="D79" s="36" t="s">
        <v>39</v>
      </c>
      <c r="E79" s="36" t="s">
        <v>583</v>
      </c>
      <c r="F79" s="37" t="s">
        <v>584</v>
      </c>
      <c r="G79" s="36">
        <f>VLOOKUP(F79,'[1]Saldos de Cartera'!$E$8:$S$343,15,0)</f>
        <v>23000</v>
      </c>
      <c r="H79" s="36" t="s">
        <v>42</v>
      </c>
      <c r="I79" s="38">
        <v>45077</v>
      </c>
      <c r="J79" s="44" t="s">
        <v>2332</v>
      </c>
      <c r="K79" s="36" t="s">
        <v>72</v>
      </c>
      <c r="L79" s="36" t="s">
        <v>585</v>
      </c>
      <c r="M79" s="36" t="s">
        <v>45</v>
      </c>
      <c r="N79" s="36" t="s">
        <v>46</v>
      </c>
      <c r="O79" s="36" t="s">
        <v>96</v>
      </c>
      <c r="P79" s="36"/>
      <c r="Q79" s="36"/>
      <c r="R79" s="39"/>
      <c r="S79" s="36"/>
      <c r="T79" s="36" t="s">
        <v>50</v>
      </c>
      <c r="U79" s="42">
        <v>45069</v>
      </c>
      <c r="V79" s="36" t="s">
        <v>586</v>
      </c>
      <c r="W79" s="39" t="s">
        <v>52</v>
      </c>
      <c r="X79" s="39" t="s">
        <v>96</v>
      </c>
      <c r="Y79" s="39" t="s">
        <v>587</v>
      </c>
      <c r="Z79" s="36" t="s">
        <v>96</v>
      </c>
      <c r="AA79" s="41">
        <v>46196</v>
      </c>
      <c r="AB79" s="39" t="s">
        <v>56</v>
      </c>
      <c r="AC79" s="36" t="s">
        <v>463</v>
      </c>
      <c r="AD79" s="36" t="s">
        <v>69</v>
      </c>
      <c r="AE79" s="39" t="s">
        <v>59</v>
      </c>
      <c r="AF79" s="39" t="s">
        <v>60</v>
      </c>
      <c r="AG79" s="14"/>
      <c r="AH79" s="14"/>
    </row>
    <row r="80" spans="1:34" ht="15" customHeight="1" x14ac:dyDescent="0.2">
      <c r="A80" s="36" t="s">
        <v>369</v>
      </c>
      <c r="B80" s="36" t="s">
        <v>37</v>
      </c>
      <c r="C80" s="36" t="s">
        <v>38</v>
      </c>
      <c r="D80" s="36" t="s">
        <v>39</v>
      </c>
      <c r="E80" s="36" t="s">
        <v>588</v>
      </c>
      <c r="F80" s="37" t="s">
        <v>589</v>
      </c>
      <c r="G80" s="36">
        <f>VLOOKUP(F80,'[1]Saldos de Cartera'!$E$8:$S$343,15,0)</f>
        <v>14412.29</v>
      </c>
      <c r="H80" s="36" t="s">
        <v>42</v>
      </c>
      <c r="I80" s="38">
        <v>45434</v>
      </c>
      <c r="J80" s="44" t="s">
        <v>2333</v>
      </c>
      <c r="K80" s="36" t="s">
        <v>43</v>
      </c>
      <c r="L80" s="36" t="s">
        <v>590</v>
      </c>
      <c r="M80" s="36" t="s">
        <v>45</v>
      </c>
      <c r="N80" s="36" t="s">
        <v>118</v>
      </c>
      <c r="O80" s="36" t="s">
        <v>96</v>
      </c>
      <c r="P80" s="36"/>
      <c r="Q80" s="36"/>
      <c r="R80" s="39"/>
      <c r="S80" s="36"/>
      <c r="T80" s="36" t="s">
        <v>50</v>
      </c>
      <c r="U80" s="42">
        <v>45433</v>
      </c>
      <c r="V80" s="36" t="s">
        <v>591</v>
      </c>
      <c r="W80" s="39" t="s">
        <v>52</v>
      </c>
      <c r="X80" s="39" t="s">
        <v>96</v>
      </c>
      <c r="Y80" s="39" t="s">
        <v>592</v>
      </c>
      <c r="Z80" s="36" t="s">
        <v>96</v>
      </c>
      <c r="AA80" s="41">
        <v>46195</v>
      </c>
      <c r="AB80" s="39" t="s">
        <v>56</v>
      </c>
      <c r="AC80" s="36" t="s">
        <v>90</v>
      </c>
      <c r="AD80" s="36" t="s">
        <v>82</v>
      </c>
      <c r="AE80" s="39" t="s">
        <v>91</v>
      </c>
      <c r="AF80" s="39" t="s">
        <v>99</v>
      </c>
      <c r="AG80" s="14"/>
      <c r="AH80" s="14"/>
    </row>
    <row r="81" spans="1:34" ht="15" customHeight="1" x14ac:dyDescent="0.2">
      <c r="A81" s="36" t="s">
        <v>369</v>
      </c>
      <c r="B81" s="36" t="s">
        <v>37</v>
      </c>
      <c r="C81" s="36" t="s">
        <v>38</v>
      </c>
      <c r="D81" s="36" t="s">
        <v>39</v>
      </c>
      <c r="E81" s="36" t="s">
        <v>593</v>
      </c>
      <c r="F81" s="37" t="s">
        <v>594</v>
      </c>
      <c r="G81" s="36">
        <f>VLOOKUP(F81,'[1]Saldos de Cartera'!$E$8:$S$343,15,0)</f>
        <v>300000</v>
      </c>
      <c r="H81" s="36" t="s">
        <v>42</v>
      </c>
      <c r="I81" s="38">
        <v>45077</v>
      </c>
      <c r="J81" s="44" t="s">
        <v>2334</v>
      </c>
      <c r="K81" s="36" t="s">
        <v>43</v>
      </c>
      <c r="L81" s="36" t="s">
        <v>595</v>
      </c>
      <c r="M81" s="36" t="s">
        <v>45</v>
      </c>
      <c r="N81" s="36" t="s">
        <v>237</v>
      </c>
      <c r="O81" s="36" t="s">
        <v>47</v>
      </c>
      <c r="P81" s="42">
        <v>45061</v>
      </c>
      <c r="Q81" s="36" t="s">
        <v>596</v>
      </c>
      <c r="R81" s="39">
        <v>888422</v>
      </c>
      <c r="S81" s="39" t="s">
        <v>49</v>
      </c>
      <c r="T81" s="36" t="s">
        <v>50</v>
      </c>
      <c r="U81" s="42">
        <v>45190</v>
      </c>
      <c r="V81" s="36" t="s">
        <v>597</v>
      </c>
      <c r="W81" s="39" t="s">
        <v>598</v>
      </c>
      <c r="X81" s="36" t="s">
        <v>599</v>
      </c>
      <c r="Y81" s="39" t="s">
        <v>600</v>
      </c>
      <c r="Z81" s="36" t="s">
        <v>55</v>
      </c>
      <c r="AA81" s="41">
        <v>46196</v>
      </c>
      <c r="AB81" s="39" t="s">
        <v>56</v>
      </c>
      <c r="AC81" s="36" t="s">
        <v>68</v>
      </c>
      <c r="AD81" s="36" t="s">
        <v>69</v>
      </c>
      <c r="AE81" s="39" t="s">
        <v>59</v>
      </c>
      <c r="AF81" s="39" t="s">
        <v>60</v>
      </c>
      <c r="AG81" s="14"/>
      <c r="AH81" s="14"/>
    </row>
    <row r="82" spans="1:34" ht="15" customHeight="1" x14ac:dyDescent="0.2">
      <c r="A82" s="36" t="s">
        <v>369</v>
      </c>
      <c r="B82" s="36" t="s">
        <v>37</v>
      </c>
      <c r="C82" s="36" t="s">
        <v>38</v>
      </c>
      <c r="D82" s="36" t="s">
        <v>39</v>
      </c>
      <c r="E82" s="36" t="s">
        <v>601</v>
      </c>
      <c r="F82" s="37" t="s">
        <v>602</v>
      </c>
      <c r="G82" s="36">
        <f>VLOOKUP(F82,'[1]Saldos de Cartera'!$E$8:$S$343,15,0)</f>
        <v>17011.97</v>
      </c>
      <c r="H82" s="36" t="s">
        <v>42</v>
      </c>
      <c r="I82" s="38">
        <v>45098</v>
      </c>
      <c r="J82" s="44" t="s">
        <v>2335</v>
      </c>
      <c r="K82" s="36" t="s">
        <v>72</v>
      </c>
      <c r="L82" s="36" t="s">
        <v>603</v>
      </c>
      <c r="M82" s="36" t="s">
        <v>45</v>
      </c>
      <c r="N82" s="36" t="s">
        <v>118</v>
      </c>
      <c r="O82" s="36" t="s">
        <v>96</v>
      </c>
      <c r="P82" s="36"/>
      <c r="Q82" s="36"/>
      <c r="R82" s="39"/>
      <c r="S82" s="36"/>
      <c r="T82" s="36" t="s">
        <v>50</v>
      </c>
      <c r="U82" s="41">
        <v>44923</v>
      </c>
      <c r="V82" s="36" t="s">
        <v>604</v>
      </c>
      <c r="W82" s="39" t="s">
        <v>52</v>
      </c>
      <c r="X82" s="39" t="s">
        <v>96</v>
      </c>
      <c r="Y82" s="39" t="s">
        <v>605</v>
      </c>
      <c r="Z82" s="36" t="s">
        <v>96</v>
      </c>
      <c r="AA82" s="41">
        <v>46197</v>
      </c>
      <c r="AB82" s="39" t="s">
        <v>56</v>
      </c>
      <c r="AC82" s="36" t="s">
        <v>68</v>
      </c>
      <c r="AD82" s="36" t="s">
        <v>69</v>
      </c>
      <c r="AE82" s="39" t="s">
        <v>59</v>
      </c>
      <c r="AF82" s="39" t="s">
        <v>60</v>
      </c>
      <c r="AG82" s="14"/>
      <c r="AH82" s="14"/>
    </row>
    <row r="83" spans="1:34" ht="15" customHeight="1" x14ac:dyDescent="0.2">
      <c r="A83" s="36" t="s">
        <v>369</v>
      </c>
      <c r="B83" s="36" t="s">
        <v>37</v>
      </c>
      <c r="C83" s="36" t="s">
        <v>38</v>
      </c>
      <c r="D83" s="36" t="s">
        <v>39</v>
      </c>
      <c r="E83" s="36" t="s">
        <v>606</v>
      </c>
      <c r="F83" s="37" t="s">
        <v>607</v>
      </c>
      <c r="G83" s="36">
        <f>VLOOKUP(F83,'[1]Saldos de Cartera'!$E$8:$S$343,15,0)</f>
        <v>24252.91</v>
      </c>
      <c r="H83" s="36" t="s">
        <v>42</v>
      </c>
      <c r="I83" s="38">
        <v>45776</v>
      </c>
      <c r="J83" s="44" t="s">
        <v>2336</v>
      </c>
      <c r="K83" s="36" t="s">
        <v>72</v>
      </c>
      <c r="L83" s="36" t="s">
        <v>608</v>
      </c>
      <c r="M83" s="36" t="s">
        <v>45</v>
      </c>
      <c r="N83" s="36" t="s">
        <v>221</v>
      </c>
      <c r="O83" s="36" t="s">
        <v>96</v>
      </c>
      <c r="P83" s="39"/>
      <c r="Q83" s="39"/>
      <c r="R83" s="39"/>
      <c r="S83" s="36"/>
      <c r="T83" s="36" t="s">
        <v>50</v>
      </c>
      <c r="U83" s="40">
        <v>45776</v>
      </c>
      <c r="V83" s="39" t="s">
        <v>609</v>
      </c>
      <c r="W83" s="39" t="s">
        <v>52</v>
      </c>
      <c r="X83" s="39" t="s">
        <v>96</v>
      </c>
      <c r="Y83" s="39" t="s">
        <v>610</v>
      </c>
      <c r="Z83" s="36" t="s">
        <v>96</v>
      </c>
      <c r="AA83" s="41">
        <v>46195</v>
      </c>
      <c r="AB83" s="39" t="s">
        <v>56</v>
      </c>
      <c r="AC83" s="36" t="s">
        <v>611</v>
      </c>
      <c r="AD83" s="36" t="s">
        <v>82</v>
      </c>
      <c r="AE83" s="39" t="s">
        <v>59</v>
      </c>
      <c r="AF83" s="39" t="s">
        <v>60</v>
      </c>
      <c r="AG83" s="14"/>
      <c r="AH83" s="14"/>
    </row>
    <row r="84" spans="1:34" ht="15" customHeight="1" x14ac:dyDescent="0.2">
      <c r="A84" s="36" t="s">
        <v>369</v>
      </c>
      <c r="B84" s="36" t="s">
        <v>37</v>
      </c>
      <c r="C84" s="36" t="s">
        <v>38</v>
      </c>
      <c r="D84" s="36" t="s">
        <v>39</v>
      </c>
      <c r="E84" s="36" t="s">
        <v>612</v>
      </c>
      <c r="F84" s="37" t="s">
        <v>613</v>
      </c>
      <c r="G84" s="36">
        <f>VLOOKUP(F84,'[1]Saldos de Cartera'!$E$8:$S$343,15,0)</f>
        <v>19021.439999999999</v>
      </c>
      <c r="H84" s="36" t="s">
        <v>42</v>
      </c>
      <c r="I84" s="38">
        <v>45127</v>
      </c>
      <c r="J84" s="44" t="s">
        <v>2337</v>
      </c>
      <c r="K84" s="36" t="s">
        <v>43</v>
      </c>
      <c r="L84" s="36" t="s">
        <v>614</v>
      </c>
      <c r="M84" s="36" t="s">
        <v>45</v>
      </c>
      <c r="N84" s="36" t="s">
        <v>46</v>
      </c>
      <c r="O84" s="36" t="s">
        <v>47</v>
      </c>
      <c r="P84" s="42">
        <v>45117</v>
      </c>
      <c r="Q84" s="36" t="s">
        <v>615</v>
      </c>
      <c r="R84" s="39"/>
      <c r="S84" s="39" t="s">
        <v>49</v>
      </c>
      <c r="T84" s="36" t="s">
        <v>50</v>
      </c>
      <c r="U84" s="42">
        <v>45148</v>
      </c>
      <c r="V84" s="36" t="s">
        <v>616</v>
      </c>
      <c r="W84" s="39" t="s">
        <v>246</v>
      </c>
      <c r="X84" s="36" t="s">
        <v>617</v>
      </c>
      <c r="Y84" s="39" t="s">
        <v>618</v>
      </c>
      <c r="Z84" s="36" t="s">
        <v>55</v>
      </c>
      <c r="AA84" s="41">
        <v>46195</v>
      </c>
      <c r="AB84" s="39" t="s">
        <v>56</v>
      </c>
      <c r="AC84" s="36" t="s">
        <v>619</v>
      </c>
      <c r="AD84" s="36" t="s">
        <v>69</v>
      </c>
      <c r="AE84" s="39" t="s">
        <v>59</v>
      </c>
      <c r="AF84" s="39" t="s">
        <v>60</v>
      </c>
      <c r="AG84" s="14"/>
      <c r="AH84" s="14"/>
    </row>
    <row r="85" spans="1:34" ht="15" customHeight="1" x14ac:dyDescent="0.2">
      <c r="A85" s="36" t="s">
        <v>369</v>
      </c>
      <c r="B85" s="36" t="s">
        <v>37</v>
      </c>
      <c r="C85" s="36" t="s">
        <v>38</v>
      </c>
      <c r="D85" s="36" t="s">
        <v>39</v>
      </c>
      <c r="E85" s="36" t="s">
        <v>620</v>
      </c>
      <c r="F85" s="37" t="s">
        <v>621</v>
      </c>
      <c r="G85" s="36">
        <f>VLOOKUP(F85,'[1]Saldos de Cartera'!$E$8:$S$343,15,0)</f>
        <v>53418.78</v>
      </c>
      <c r="H85" s="36" t="s">
        <v>42</v>
      </c>
      <c r="I85" s="38">
        <v>45195</v>
      </c>
      <c r="J85" s="44" t="s">
        <v>2338</v>
      </c>
      <c r="K85" s="36" t="s">
        <v>43</v>
      </c>
      <c r="L85" s="36" t="s">
        <v>622</v>
      </c>
      <c r="M85" s="36" t="s">
        <v>45</v>
      </c>
      <c r="N85" s="36" t="s">
        <v>326</v>
      </c>
      <c r="O85" s="36" t="s">
        <v>47</v>
      </c>
      <c r="P85" s="42">
        <v>45191</v>
      </c>
      <c r="Q85" s="36" t="s">
        <v>623</v>
      </c>
      <c r="R85" s="39">
        <v>698337</v>
      </c>
      <c r="S85" s="39" t="s">
        <v>49</v>
      </c>
      <c r="T85" s="36" t="s">
        <v>50</v>
      </c>
      <c r="U85" s="41">
        <v>45287</v>
      </c>
      <c r="V85" s="36" t="s">
        <v>624</v>
      </c>
      <c r="W85" s="39" t="s">
        <v>52</v>
      </c>
      <c r="X85" s="36" t="s">
        <v>625</v>
      </c>
      <c r="Y85" s="39" t="s">
        <v>626</v>
      </c>
      <c r="Z85" s="36" t="s">
        <v>55</v>
      </c>
      <c r="AA85" s="41">
        <v>46195</v>
      </c>
      <c r="AB85" s="39" t="s">
        <v>56</v>
      </c>
      <c r="AC85" s="36" t="s">
        <v>627</v>
      </c>
      <c r="AD85" s="36" t="s">
        <v>69</v>
      </c>
      <c r="AE85" s="39" t="s">
        <v>59</v>
      </c>
      <c r="AF85" s="39" t="s">
        <v>60</v>
      </c>
      <c r="AG85" s="14"/>
      <c r="AH85" s="14"/>
    </row>
    <row r="86" spans="1:34" ht="15" customHeight="1" x14ac:dyDescent="0.2">
      <c r="A86" s="36" t="s">
        <v>369</v>
      </c>
      <c r="B86" s="36" t="s">
        <v>37</v>
      </c>
      <c r="C86" s="36" t="s">
        <v>38</v>
      </c>
      <c r="D86" s="36" t="s">
        <v>39</v>
      </c>
      <c r="E86" s="36" t="s">
        <v>628</v>
      </c>
      <c r="F86" s="37" t="s">
        <v>629</v>
      </c>
      <c r="G86" s="36">
        <f>VLOOKUP(F86,'[1]Saldos de Cartera'!$E$8:$S$343,15,0)</f>
        <v>35898.33</v>
      </c>
      <c r="H86" s="36" t="s">
        <v>42</v>
      </c>
      <c r="I86" s="38">
        <v>45483</v>
      </c>
      <c r="J86" s="44" t="s">
        <v>2339</v>
      </c>
      <c r="K86" s="36" t="s">
        <v>72</v>
      </c>
      <c r="L86" s="36" t="s">
        <v>630</v>
      </c>
      <c r="M86" s="36" t="s">
        <v>45</v>
      </c>
      <c r="N86" s="36" t="s">
        <v>442</v>
      </c>
      <c r="O86" s="36" t="s">
        <v>96</v>
      </c>
      <c r="P86" s="36"/>
      <c r="Q86" s="36"/>
      <c r="R86" s="39"/>
      <c r="S86" s="36"/>
      <c r="T86" s="36" t="s">
        <v>50</v>
      </c>
      <c r="U86" s="42">
        <v>45490</v>
      </c>
      <c r="V86" s="36" t="s">
        <v>631</v>
      </c>
      <c r="W86" s="39" t="s">
        <v>88</v>
      </c>
      <c r="X86" s="39" t="s">
        <v>96</v>
      </c>
      <c r="Y86" s="39" t="s">
        <v>423</v>
      </c>
      <c r="Z86" s="36" t="s">
        <v>96</v>
      </c>
      <c r="AA86" s="41">
        <v>46196</v>
      </c>
      <c r="AB86" s="39" t="s">
        <v>56</v>
      </c>
      <c r="AC86" s="36" t="s">
        <v>632</v>
      </c>
      <c r="AD86" s="36" t="s">
        <v>82</v>
      </c>
      <c r="AE86" s="39" t="s">
        <v>59</v>
      </c>
      <c r="AF86" s="39" t="s">
        <v>60</v>
      </c>
      <c r="AG86" s="14"/>
      <c r="AH86" s="14"/>
    </row>
    <row r="87" spans="1:34" ht="15" customHeight="1" x14ac:dyDescent="0.2">
      <c r="A87" s="36" t="s">
        <v>369</v>
      </c>
      <c r="B87" s="36" t="s">
        <v>37</v>
      </c>
      <c r="C87" s="36" t="s">
        <v>38</v>
      </c>
      <c r="D87" s="36" t="s">
        <v>39</v>
      </c>
      <c r="E87" s="36" t="s">
        <v>633</v>
      </c>
      <c r="F87" s="37" t="s">
        <v>634</v>
      </c>
      <c r="G87" s="36">
        <f>VLOOKUP(F87,'[1]Saldos de Cartera'!$E$8:$S$343,15,0)</f>
        <v>74294.289999999994</v>
      </c>
      <c r="H87" s="36" t="s">
        <v>42</v>
      </c>
      <c r="I87" s="38">
        <v>45892</v>
      </c>
      <c r="J87" s="44" t="s">
        <v>324</v>
      </c>
      <c r="K87" s="36" t="s">
        <v>43</v>
      </c>
      <c r="L87" s="36" t="s">
        <v>635</v>
      </c>
      <c r="M87" s="36" t="s">
        <v>45</v>
      </c>
      <c r="N87" s="36" t="s">
        <v>505</v>
      </c>
      <c r="O87" s="36" t="s">
        <v>96</v>
      </c>
      <c r="P87" s="36"/>
      <c r="Q87" s="36"/>
      <c r="R87" s="39"/>
      <c r="S87" s="36"/>
      <c r="T87" s="36" t="s">
        <v>327</v>
      </c>
      <c r="U87" s="42">
        <v>45891</v>
      </c>
      <c r="V87" s="36" t="s">
        <v>636</v>
      </c>
      <c r="W87" s="39" t="s">
        <v>88</v>
      </c>
      <c r="X87" s="39" t="s">
        <v>637</v>
      </c>
      <c r="Y87" s="39" t="s">
        <v>638</v>
      </c>
      <c r="Z87" s="36" t="s">
        <v>55</v>
      </c>
      <c r="AA87" s="41">
        <v>46195</v>
      </c>
      <c r="AB87" s="39" t="s">
        <v>56</v>
      </c>
      <c r="AC87" s="36" t="s">
        <v>68</v>
      </c>
      <c r="AD87" s="39" t="s">
        <v>58</v>
      </c>
      <c r="AE87" s="39" t="s">
        <v>59</v>
      </c>
      <c r="AF87" s="39" t="s">
        <v>99</v>
      </c>
      <c r="AG87" s="14"/>
      <c r="AH87" s="14"/>
    </row>
    <row r="88" spans="1:34" ht="15" customHeight="1" x14ac:dyDescent="0.2">
      <c r="A88" s="36" t="s">
        <v>369</v>
      </c>
      <c r="B88" s="36" t="s">
        <v>37</v>
      </c>
      <c r="C88" s="36" t="s">
        <v>38</v>
      </c>
      <c r="D88" s="36" t="s">
        <v>39</v>
      </c>
      <c r="E88" s="36" t="s">
        <v>639</v>
      </c>
      <c r="F88" s="37" t="s">
        <v>640</v>
      </c>
      <c r="G88" s="36">
        <f>VLOOKUP(F88,'[1]Saldos de Cartera'!$E$8:$S$343,15,0)</f>
        <v>20193.93</v>
      </c>
      <c r="H88" s="36" t="s">
        <v>42</v>
      </c>
      <c r="I88" s="38">
        <v>45290</v>
      </c>
      <c r="J88" s="44" t="s">
        <v>2340</v>
      </c>
      <c r="K88" s="36" t="s">
        <v>72</v>
      </c>
      <c r="L88" s="36" t="s">
        <v>641</v>
      </c>
      <c r="M88" s="36" t="s">
        <v>45</v>
      </c>
      <c r="N88" s="36" t="s">
        <v>499</v>
      </c>
      <c r="O88" s="36" t="s">
        <v>96</v>
      </c>
      <c r="P88" s="36"/>
      <c r="Q88" s="36"/>
      <c r="R88" s="39"/>
      <c r="S88" s="36"/>
      <c r="T88" s="36" t="s">
        <v>50</v>
      </c>
      <c r="U88" s="41">
        <v>45288</v>
      </c>
      <c r="V88" s="36" t="s">
        <v>642</v>
      </c>
      <c r="W88" s="39" t="s">
        <v>88</v>
      </c>
      <c r="X88" s="39" t="s">
        <v>96</v>
      </c>
      <c r="Y88" s="39" t="s">
        <v>643</v>
      </c>
      <c r="Z88" s="36" t="s">
        <v>96</v>
      </c>
      <c r="AA88" s="41">
        <v>46196</v>
      </c>
      <c r="AB88" s="39" t="s">
        <v>56</v>
      </c>
      <c r="AC88" s="36" t="s">
        <v>644</v>
      </c>
      <c r="AD88" s="36" t="s">
        <v>69</v>
      </c>
      <c r="AE88" s="39" t="s">
        <v>59</v>
      </c>
      <c r="AF88" s="39" t="s">
        <v>60</v>
      </c>
      <c r="AG88" s="14"/>
      <c r="AH88" s="14"/>
    </row>
    <row r="89" spans="1:34" ht="15" customHeight="1" x14ac:dyDescent="0.2">
      <c r="A89" s="36" t="s">
        <v>369</v>
      </c>
      <c r="B89" s="36" t="s">
        <v>37</v>
      </c>
      <c r="C89" s="36" t="s">
        <v>38</v>
      </c>
      <c r="D89" s="36" t="s">
        <v>39</v>
      </c>
      <c r="E89" s="36" t="s">
        <v>645</v>
      </c>
      <c r="F89" s="37" t="s">
        <v>646</v>
      </c>
      <c r="G89" s="36">
        <f>VLOOKUP(F89,'[1]Saldos de Cartera'!$E$8:$S$343,15,0)</f>
        <v>14826.53</v>
      </c>
      <c r="H89" s="36" t="s">
        <v>42</v>
      </c>
      <c r="I89" s="38">
        <v>45077</v>
      </c>
      <c r="J89" s="44" t="s">
        <v>2341</v>
      </c>
      <c r="K89" s="36" t="s">
        <v>72</v>
      </c>
      <c r="L89" s="36" t="s">
        <v>647</v>
      </c>
      <c r="M89" s="36" t="s">
        <v>45</v>
      </c>
      <c r="N89" s="36" t="s">
        <v>118</v>
      </c>
      <c r="O89" s="36" t="s">
        <v>47</v>
      </c>
      <c r="P89" s="42">
        <v>45079</v>
      </c>
      <c r="Q89" s="36" t="s">
        <v>648</v>
      </c>
      <c r="R89" s="39">
        <v>811601</v>
      </c>
      <c r="S89" s="39" t="s">
        <v>49</v>
      </c>
      <c r="T89" s="36" t="s">
        <v>50</v>
      </c>
      <c r="U89" s="42">
        <v>45138</v>
      </c>
      <c r="V89" s="36" t="s">
        <v>649</v>
      </c>
      <c r="W89" s="39" t="s">
        <v>52</v>
      </c>
      <c r="X89" s="36" t="s">
        <v>650</v>
      </c>
      <c r="Y89" s="39" t="s">
        <v>651</v>
      </c>
      <c r="Z89" s="36" t="s">
        <v>122</v>
      </c>
      <c r="AA89" s="41">
        <v>46197</v>
      </c>
      <c r="AB89" s="39" t="s">
        <v>56</v>
      </c>
      <c r="AC89" s="36" t="s">
        <v>68</v>
      </c>
      <c r="AD89" s="36" t="s">
        <v>69</v>
      </c>
      <c r="AE89" s="39" t="s">
        <v>59</v>
      </c>
      <c r="AF89" s="39" t="s">
        <v>60</v>
      </c>
      <c r="AG89" s="14"/>
      <c r="AH89" s="14"/>
    </row>
    <row r="90" spans="1:34" ht="15" customHeight="1" x14ac:dyDescent="0.2">
      <c r="A90" s="36" t="s">
        <v>369</v>
      </c>
      <c r="B90" s="36" t="s">
        <v>37</v>
      </c>
      <c r="C90" s="36" t="s">
        <v>38</v>
      </c>
      <c r="D90" s="36" t="s">
        <v>39</v>
      </c>
      <c r="E90" s="36" t="s">
        <v>652</v>
      </c>
      <c r="F90" s="37" t="s">
        <v>653</v>
      </c>
      <c r="G90" s="36">
        <f>VLOOKUP(F90,'[1]Saldos de Cartera'!$E$8:$S$343,15,0)</f>
        <v>11278.67</v>
      </c>
      <c r="H90" s="36" t="s">
        <v>42</v>
      </c>
      <c r="I90" s="38">
        <v>45132</v>
      </c>
      <c r="J90" s="44" t="s">
        <v>2342</v>
      </c>
      <c r="K90" s="36" t="s">
        <v>72</v>
      </c>
      <c r="L90" s="36" t="s">
        <v>654</v>
      </c>
      <c r="M90" s="36" t="s">
        <v>45</v>
      </c>
      <c r="N90" s="36" t="s">
        <v>237</v>
      </c>
      <c r="O90" s="36" t="s">
        <v>96</v>
      </c>
      <c r="P90" s="36"/>
      <c r="Q90" s="36"/>
      <c r="R90" s="39"/>
      <c r="S90" s="36"/>
      <c r="T90" s="36" t="s">
        <v>50</v>
      </c>
      <c r="U90" s="42">
        <v>45700</v>
      </c>
      <c r="V90" s="36" t="s">
        <v>655</v>
      </c>
      <c r="W90" s="39" t="s">
        <v>52</v>
      </c>
      <c r="X90" s="39" t="s">
        <v>96</v>
      </c>
      <c r="Y90" s="39" t="s">
        <v>656</v>
      </c>
      <c r="Z90" s="36" t="s">
        <v>96</v>
      </c>
      <c r="AA90" s="41">
        <v>46197</v>
      </c>
      <c r="AB90" s="39" t="s">
        <v>56</v>
      </c>
      <c r="AC90" s="36" t="s">
        <v>68</v>
      </c>
      <c r="AD90" s="36" t="s">
        <v>69</v>
      </c>
      <c r="AE90" s="39" t="s">
        <v>59</v>
      </c>
      <c r="AF90" s="39" t="s">
        <v>60</v>
      </c>
      <c r="AG90" s="14"/>
      <c r="AH90" s="14"/>
    </row>
    <row r="91" spans="1:34" ht="15" customHeight="1" x14ac:dyDescent="0.2">
      <c r="A91" s="36" t="s">
        <v>369</v>
      </c>
      <c r="B91" s="36" t="s">
        <v>37</v>
      </c>
      <c r="C91" s="36" t="s">
        <v>38</v>
      </c>
      <c r="D91" s="36" t="s">
        <v>39</v>
      </c>
      <c r="E91" s="36" t="s">
        <v>657</v>
      </c>
      <c r="F91" s="37" t="s">
        <v>658</v>
      </c>
      <c r="G91" s="36">
        <f>VLOOKUP(F91,'[1]Saldos de Cartera'!$E$8:$S$343,15,0)</f>
        <v>17877.98</v>
      </c>
      <c r="H91" s="36" t="s">
        <v>42</v>
      </c>
      <c r="I91" s="38">
        <v>45776</v>
      </c>
      <c r="J91" s="44" t="s">
        <v>2343</v>
      </c>
      <c r="K91" s="36" t="s">
        <v>43</v>
      </c>
      <c r="L91" s="36" t="s">
        <v>659</v>
      </c>
      <c r="M91" s="36" t="s">
        <v>45</v>
      </c>
      <c r="N91" s="36" t="s">
        <v>201</v>
      </c>
      <c r="O91" s="36" t="s">
        <v>96</v>
      </c>
      <c r="P91" s="39"/>
      <c r="Q91" s="39"/>
      <c r="R91" s="39"/>
      <c r="S91" s="36"/>
      <c r="T91" s="36" t="s">
        <v>50</v>
      </c>
      <c r="U91" s="40">
        <v>45776</v>
      </c>
      <c r="V91" s="39" t="s">
        <v>660</v>
      </c>
      <c r="W91" s="39" t="s">
        <v>52</v>
      </c>
      <c r="X91" s="39" t="s">
        <v>96</v>
      </c>
      <c r="Y91" s="39" t="s">
        <v>661</v>
      </c>
      <c r="Z91" s="36" t="s">
        <v>96</v>
      </c>
      <c r="AA91" s="41">
        <v>46195</v>
      </c>
      <c r="AB91" s="39" t="s">
        <v>56</v>
      </c>
      <c r="AC91" s="36" t="s">
        <v>662</v>
      </c>
      <c r="AD91" s="36" t="s">
        <v>82</v>
      </c>
      <c r="AE91" s="39" t="s">
        <v>91</v>
      </c>
      <c r="AF91" s="39" t="s">
        <v>60</v>
      </c>
      <c r="AG91" s="14"/>
      <c r="AH91" s="14"/>
    </row>
    <row r="92" spans="1:34" ht="15" customHeight="1" x14ac:dyDescent="0.2">
      <c r="A92" s="36" t="s">
        <v>369</v>
      </c>
      <c r="B92" s="36" t="s">
        <v>37</v>
      </c>
      <c r="C92" s="36" t="s">
        <v>38</v>
      </c>
      <c r="D92" s="36" t="s">
        <v>39</v>
      </c>
      <c r="E92" s="36" t="s">
        <v>663</v>
      </c>
      <c r="F92" s="37" t="s">
        <v>664</v>
      </c>
      <c r="G92" s="36">
        <f>VLOOKUP(F92,'[1]Saldos de Cartera'!$E$8:$S$343,15,0)</f>
        <v>67011.320000000007</v>
      </c>
      <c r="H92" s="36" t="s">
        <v>42</v>
      </c>
      <c r="I92" s="38">
        <v>45230</v>
      </c>
      <c r="J92" s="44" t="s">
        <v>2344</v>
      </c>
      <c r="K92" s="36" t="s">
        <v>72</v>
      </c>
      <c r="L92" s="36" t="s">
        <v>665</v>
      </c>
      <c r="M92" s="36" t="s">
        <v>45</v>
      </c>
      <c r="N92" s="36" t="s">
        <v>421</v>
      </c>
      <c r="O92" s="36" t="s">
        <v>96</v>
      </c>
      <c r="P92" s="36"/>
      <c r="Q92" s="36"/>
      <c r="R92" s="39"/>
      <c r="S92" s="36"/>
      <c r="T92" s="36" t="s">
        <v>50</v>
      </c>
      <c r="U92" s="41">
        <v>45230</v>
      </c>
      <c r="V92" s="36" t="s">
        <v>666</v>
      </c>
      <c r="W92" s="39" t="s">
        <v>88</v>
      </c>
      <c r="X92" s="39" t="s">
        <v>96</v>
      </c>
      <c r="Y92" s="39" t="s">
        <v>423</v>
      </c>
      <c r="Z92" s="36" t="s">
        <v>96</v>
      </c>
      <c r="AA92" s="41">
        <v>46195</v>
      </c>
      <c r="AB92" s="39" t="s">
        <v>56</v>
      </c>
      <c r="AC92" s="36" t="s">
        <v>667</v>
      </c>
      <c r="AD92" s="36" t="s">
        <v>69</v>
      </c>
      <c r="AE92" s="39" t="s">
        <v>59</v>
      </c>
      <c r="AF92" s="39" t="s">
        <v>60</v>
      </c>
      <c r="AG92" s="14"/>
      <c r="AH92" s="14"/>
    </row>
    <row r="93" spans="1:34" ht="15" customHeight="1" x14ac:dyDescent="0.2">
      <c r="A93" s="36" t="s">
        <v>369</v>
      </c>
      <c r="B93" s="36" t="s">
        <v>37</v>
      </c>
      <c r="C93" s="36" t="s">
        <v>38</v>
      </c>
      <c r="D93" s="36" t="s">
        <v>39</v>
      </c>
      <c r="E93" s="36" t="s">
        <v>668</v>
      </c>
      <c r="F93" s="37" t="s">
        <v>669</v>
      </c>
      <c r="G93" s="36">
        <f>VLOOKUP(F93,'[1]Saldos de Cartera'!$E$8:$S$343,15,0)</f>
        <v>10893.75</v>
      </c>
      <c r="H93" s="36" t="s">
        <v>42</v>
      </c>
      <c r="I93" s="38">
        <v>45077</v>
      </c>
      <c r="J93" s="44" t="s">
        <v>2345</v>
      </c>
      <c r="K93" s="36" t="s">
        <v>72</v>
      </c>
      <c r="L93" s="36" t="s">
        <v>670</v>
      </c>
      <c r="M93" s="36" t="s">
        <v>45</v>
      </c>
      <c r="N93" s="36" t="s">
        <v>118</v>
      </c>
      <c r="O93" s="36" t="s">
        <v>96</v>
      </c>
      <c r="P93" s="36"/>
      <c r="Q93" s="36"/>
      <c r="R93" s="39"/>
      <c r="S93" s="36"/>
      <c r="T93" s="36" t="s">
        <v>50</v>
      </c>
      <c r="U93" s="41">
        <v>45069</v>
      </c>
      <c r="V93" s="36" t="s">
        <v>671</v>
      </c>
      <c r="W93" s="39" t="s">
        <v>52</v>
      </c>
      <c r="X93" s="39" t="s">
        <v>96</v>
      </c>
      <c r="Y93" s="39" t="s">
        <v>672</v>
      </c>
      <c r="Z93" s="36" t="s">
        <v>96</v>
      </c>
      <c r="AA93" s="41">
        <v>46196</v>
      </c>
      <c r="AB93" s="39" t="s">
        <v>56</v>
      </c>
      <c r="AC93" s="36" t="s">
        <v>673</v>
      </c>
      <c r="AD93" s="36" t="s">
        <v>69</v>
      </c>
      <c r="AE93" s="39" t="s">
        <v>59</v>
      </c>
      <c r="AF93" s="39" t="s">
        <v>60</v>
      </c>
      <c r="AG93" s="14"/>
      <c r="AH93" s="14"/>
    </row>
    <row r="94" spans="1:34" ht="15" customHeight="1" x14ac:dyDescent="0.2">
      <c r="A94" s="36" t="s">
        <v>369</v>
      </c>
      <c r="B94" s="36" t="s">
        <v>37</v>
      </c>
      <c r="C94" s="36" t="s">
        <v>38</v>
      </c>
      <c r="D94" s="36" t="s">
        <v>39</v>
      </c>
      <c r="E94" s="36" t="s">
        <v>674</v>
      </c>
      <c r="F94" s="37" t="s">
        <v>675</v>
      </c>
      <c r="G94" s="36">
        <f>VLOOKUP(F94,'[1]Saldos de Cartera'!$E$8:$S$343,15,0)</f>
        <v>10889.64</v>
      </c>
      <c r="H94" s="36" t="s">
        <v>42</v>
      </c>
      <c r="I94" s="38">
        <v>45468</v>
      </c>
      <c r="J94" s="44" t="s">
        <v>2346</v>
      </c>
      <c r="K94" s="36" t="s">
        <v>43</v>
      </c>
      <c r="L94" s="36" t="s">
        <v>676</v>
      </c>
      <c r="M94" s="36" t="s">
        <v>45</v>
      </c>
      <c r="N94" s="36" t="s">
        <v>118</v>
      </c>
      <c r="O94" s="36" t="s">
        <v>677</v>
      </c>
      <c r="P94" s="42">
        <v>45467</v>
      </c>
      <c r="Q94" s="36" t="s">
        <v>678</v>
      </c>
      <c r="R94" s="39">
        <v>684219</v>
      </c>
      <c r="S94" s="36" t="s">
        <v>679</v>
      </c>
      <c r="T94" s="36" t="s">
        <v>50</v>
      </c>
      <c r="U94" s="42">
        <v>45918</v>
      </c>
      <c r="V94" s="39" t="s">
        <v>680</v>
      </c>
      <c r="W94" s="39" t="s">
        <v>88</v>
      </c>
      <c r="X94" s="36" t="s">
        <v>681</v>
      </c>
      <c r="Y94" s="39" t="s">
        <v>682</v>
      </c>
      <c r="Z94" s="36" t="s">
        <v>137</v>
      </c>
      <c r="AA94" s="41">
        <v>46195</v>
      </c>
      <c r="AB94" s="39" t="s">
        <v>56</v>
      </c>
      <c r="AC94" s="36" t="s">
        <v>683</v>
      </c>
      <c r="AD94" s="36" t="s">
        <v>82</v>
      </c>
      <c r="AE94" s="39" t="s">
        <v>59</v>
      </c>
      <c r="AF94" s="39" t="s">
        <v>60</v>
      </c>
      <c r="AG94" s="14"/>
      <c r="AH94" s="14"/>
    </row>
    <row r="95" spans="1:34" ht="15" customHeight="1" x14ac:dyDescent="0.2">
      <c r="A95" s="36" t="s">
        <v>369</v>
      </c>
      <c r="B95" s="36" t="s">
        <v>37</v>
      </c>
      <c r="C95" s="36" t="s">
        <v>38</v>
      </c>
      <c r="D95" s="36" t="s">
        <v>39</v>
      </c>
      <c r="E95" s="36" t="s">
        <v>684</v>
      </c>
      <c r="F95" s="37" t="s">
        <v>685</v>
      </c>
      <c r="G95" s="36">
        <f>VLOOKUP(F95,'[1]Saldos de Cartera'!$E$8:$S$343,15,0)</f>
        <v>5220.29</v>
      </c>
      <c r="H95" s="36" t="s">
        <v>42</v>
      </c>
      <c r="I95" s="38">
        <v>45776</v>
      </c>
      <c r="J95" s="44" t="s">
        <v>2347</v>
      </c>
      <c r="K95" s="36" t="s">
        <v>72</v>
      </c>
      <c r="L95" s="36" t="s">
        <v>686</v>
      </c>
      <c r="M95" s="36" t="s">
        <v>45</v>
      </c>
      <c r="N95" s="36" t="s">
        <v>191</v>
      </c>
      <c r="O95" s="36" t="s">
        <v>96</v>
      </c>
      <c r="P95" s="39"/>
      <c r="Q95" s="39"/>
      <c r="R95" s="39"/>
      <c r="S95" s="36"/>
      <c r="T95" s="36" t="s">
        <v>50</v>
      </c>
      <c r="U95" s="40">
        <v>45776</v>
      </c>
      <c r="V95" s="39" t="s">
        <v>687</v>
      </c>
      <c r="W95" s="39" t="s">
        <v>52</v>
      </c>
      <c r="X95" s="39" t="s">
        <v>96</v>
      </c>
      <c r="Y95" s="39" t="s">
        <v>688</v>
      </c>
      <c r="Z95" s="36" t="s">
        <v>96</v>
      </c>
      <c r="AA95" s="41">
        <v>46196</v>
      </c>
      <c r="AB95" s="39" t="s">
        <v>56</v>
      </c>
      <c r="AC95" s="36" t="s">
        <v>689</v>
      </c>
      <c r="AD95" s="36" t="s">
        <v>82</v>
      </c>
      <c r="AE95" s="39" t="s">
        <v>59</v>
      </c>
      <c r="AF95" s="39" t="s">
        <v>60</v>
      </c>
      <c r="AG95" s="14"/>
      <c r="AH95" s="14"/>
    </row>
    <row r="96" spans="1:34" ht="15" customHeight="1" x14ac:dyDescent="0.2">
      <c r="A96" s="36" t="s">
        <v>369</v>
      </c>
      <c r="B96" s="36" t="s">
        <v>37</v>
      </c>
      <c r="C96" s="36" t="s">
        <v>38</v>
      </c>
      <c r="D96" s="36" t="s">
        <v>39</v>
      </c>
      <c r="E96" s="36" t="s">
        <v>690</v>
      </c>
      <c r="F96" s="37" t="s">
        <v>691</v>
      </c>
      <c r="G96" s="36">
        <f>VLOOKUP(F96,'[1]Saldos de Cartera'!$E$8:$S$343,15,0)</f>
        <v>20000</v>
      </c>
      <c r="H96" s="36" t="s">
        <v>42</v>
      </c>
      <c r="I96" s="38">
        <v>45916</v>
      </c>
      <c r="J96" s="44" t="s">
        <v>2348</v>
      </c>
      <c r="K96" s="36" t="s">
        <v>72</v>
      </c>
      <c r="L96" s="36" t="s">
        <v>692</v>
      </c>
      <c r="M96" s="36" t="s">
        <v>45</v>
      </c>
      <c r="N96" s="36" t="s">
        <v>201</v>
      </c>
      <c r="O96" s="36" t="s">
        <v>96</v>
      </c>
      <c r="P96" s="39"/>
      <c r="Q96" s="39"/>
      <c r="R96" s="39"/>
      <c r="S96" s="36"/>
      <c r="T96" s="36" t="s">
        <v>50</v>
      </c>
      <c r="U96" s="40">
        <v>45904</v>
      </c>
      <c r="V96" s="39" t="s">
        <v>693</v>
      </c>
      <c r="W96" s="39" t="s">
        <v>52</v>
      </c>
      <c r="X96" s="39" t="s">
        <v>96</v>
      </c>
      <c r="Y96" s="39" t="s">
        <v>694</v>
      </c>
      <c r="Z96" s="39" t="s">
        <v>96</v>
      </c>
      <c r="AA96" s="43">
        <v>46195</v>
      </c>
      <c r="AB96" s="39" t="s">
        <v>56</v>
      </c>
      <c r="AC96" s="39" t="s">
        <v>68</v>
      </c>
      <c r="AD96" s="36" t="s">
        <v>82</v>
      </c>
      <c r="AE96" s="39" t="s">
        <v>59</v>
      </c>
      <c r="AF96" s="39" t="s">
        <v>60</v>
      </c>
      <c r="AG96" s="14"/>
      <c r="AH96" s="14"/>
    </row>
    <row r="97" spans="1:34" ht="15" customHeight="1" x14ac:dyDescent="0.2">
      <c r="A97" s="36" t="s">
        <v>369</v>
      </c>
      <c r="B97" s="36" t="s">
        <v>37</v>
      </c>
      <c r="C97" s="36" t="s">
        <v>38</v>
      </c>
      <c r="D97" s="36" t="s">
        <v>39</v>
      </c>
      <c r="E97" s="36" t="s">
        <v>695</v>
      </c>
      <c r="F97" s="37" t="s">
        <v>696</v>
      </c>
      <c r="G97" s="36">
        <f>VLOOKUP(F97,'[1]Saldos de Cartera'!$E$8:$S$343,15,0)</f>
        <v>72547.399999999994</v>
      </c>
      <c r="H97" s="36" t="s">
        <v>42</v>
      </c>
      <c r="I97" s="38">
        <v>45932</v>
      </c>
      <c r="J97" s="44" t="s">
        <v>2349</v>
      </c>
      <c r="K97" s="36" t="s">
        <v>43</v>
      </c>
      <c r="L97" s="36" t="s">
        <v>697</v>
      </c>
      <c r="M97" s="36" t="s">
        <v>45</v>
      </c>
      <c r="N97" s="36" t="s">
        <v>243</v>
      </c>
      <c r="O97" s="36" t="s">
        <v>47</v>
      </c>
      <c r="P97" s="40">
        <v>45834</v>
      </c>
      <c r="Q97" s="39" t="s">
        <v>698</v>
      </c>
      <c r="R97" s="39">
        <v>888419</v>
      </c>
      <c r="S97" s="39" t="s">
        <v>49</v>
      </c>
      <c r="T97" s="36" t="s">
        <v>50</v>
      </c>
      <c r="U97" s="40">
        <v>46155</v>
      </c>
      <c r="V97" s="39" t="s">
        <v>699</v>
      </c>
      <c r="W97" s="36" t="s">
        <v>435</v>
      </c>
      <c r="X97" s="39" t="s">
        <v>700</v>
      </c>
      <c r="Y97" s="39" t="s">
        <v>701</v>
      </c>
      <c r="Z97" s="36" t="s">
        <v>55</v>
      </c>
      <c r="AA97" s="43">
        <v>46195</v>
      </c>
      <c r="AB97" s="39" t="s">
        <v>56</v>
      </c>
      <c r="AC97" s="39" t="s">
        <v>68</v>
      </c>
      <c r="AD97" s="36" t="s">
        <v>69</v>
      </c>
      <c r="AE97" s="39" t="s">
        <v>59</v>
      </c>
      <c r="AF97" s="39" t="s">
        <v>60</v>
      </c>
      <c r="AG97" s="14"/>
      <c r="AH97" s="14"/>
    </row>
    <row r="98" spans="1:34" ht="15" customHeight="1" x14ac:dyDescent="0.2">
      <c r="A98" s="36" t="s">
        <v>369</v>
      </c>
      <c r="B98" s="36" t="s">
        <v>37</v>
      </c>
      <c r="C98" s="36" t="s">
        <v>38</v>
      </c>
      <c r="D98" s="36" t="s">
        <v>39</v>
      </c>
      <c r="E98" s="36" t="s">
        <v>702</v>
      </c>
      <c r="F98" s="37" t="s">
        <v>703</v>
      </c>
      <c r="G98" s="36">
        <f>VLOOKUP(F98,'[1]Saldos de Cartera'!$E$8:$S$343,15,0)</f>
        <v>13100.7</v>
      </c>
      <c r="H98" s="36" t="s">
        <v>42</v>
      </c>
      <c r="I98" s="38">
        <v>45077</v>
      </c>
      <c r="J98" s="44" t="s">
        <v>2350</v>
      </c>
      <c r="K98" s="36" t="s">
        <v>72</v>
      </c>
      <c r="L98" s="36" t="s">
        <v>704</v>
      </c>
      <c r="M98" s="36" t="s">
        <v>45</v>
      </c>
      <c r="N98" s="36" t="s">
        <v>46</v>
      </c>
      <c r="O98" s="36" t="s">
        <v>47</v>
      </c>
      <c r="P98" s="42">
        <v>45070</v>
      </c>
      <c r="Q98" s="39" t="s">
        <v>705</v>
      </c>
      <c r="R98" s="39"/>
      <c r="S98" s="39" t="s">
        <v>49</v>
      </c>
      <c r="T98" s="36" t="s">
        <v>50</v>
      </c>
      <c r="U98" s="42">
        <v>45131</v>
      </c>
      <c r="V98" s="36" t="s">
        <v>706</v>
      </c>
      <c r="W98" s="39" t="s">
        <v>52</v>
      </c>
      <c r="X98" s="36" t="s">
        <v>707</v>
      </c>
      <c r="Y98" s="39" t="s">
        <v>708</v>
      </c>
      <c r="Z98" s="36" t="s">
        <v>80</v>
      </c>
      <c r="AA98" s="41">
        <v>46196</v>
      </c>
      <c r="AB98" s="39" t="s">
        <v>56</v>
      </c>
      <c r="AC98" s="36" t="s">
        <v>429</v>
      </c>
      <c r="AD98" s="36" t="s">
        <v>69</v>
      </c>
      <c r="AE98" s="39" t="s">
        <v>59</v>
      </c>
      <c r="AF98" s="39" t="s">
        <v>60</v>
      </c>
      <c r="AG98" s="14"/>
      <c r="AH98" s="14"/>
    </row>
    <row r="99" spans="1:34" ht="15" customHeight="1" x14ac:dyDescent="0.2">
      <c r="A99" s="36" t="s">
        <v>369</v>
      </c>
      <c r="B99" s="36" t="s">
        <v>37</v>
      </c>
      <c r="C99" s="36" t="s">
        <v>38</v>
      </c>
      <c r="D99" s="36" t="s">
        <v>39</v>
      </c>
      <c r="E99" s="36" t="s">
        <v>709</v>
      </c>
      <c r="F99" s="37" t="s">
        <v>710</v>
      </c>
      <c r="G99" s="36">
        <f>VLOOKUP(F99,'[1]Saldos de Cartera'!$E$8:$S$343,15,0)</f>
        <v>27755.29</v>
      </c>
      <c r="H99" s="36" t="s">
        <v>42</v>
      </c>
      <c r="I99" s="38">
        <v>45916</v>
      </c>
      <c r="J99" s="44" t="s">
        <v>2351</v>
      </c>
      <c r="K99" s="36" t="s">
        <v>72</v>
      </c>
      <c r="L99" s="36" t="s">
        <v>711</v>
      </c>
      <c r="M99" s="36" t="s">
        <v>45</v>
      </c>
      <c r="N99" s="36" t="s">
        <v>95</v>
      </c>
      <c r="O99" s="36" t="s">
        <v>96</v>
      </c>
      <c r="P99" s="39"/>
      <c r="Q99" s="39"/>
      <c r="R99" s="39"/>
      <c r="S99" s="36"/>
      <c r="T99" s="36" t="s">
        <v>50</v>
      </c>
      <c r="U99" s="40">
        <v>45904</v>
      </c>
      <c r="V99" s="39" t="s">
        <v>712</v>
      </c>
      <c r="W99" s="39" t="s">
        <v>52</v>
      </c>
      <c r="X99" s="39" t="s">
        <v>96</v>
      </c>
      <c r="Y99" s="39" t="s">
        <v>713</v>
      </c>
      <c r="Z99" s="39" t="s">
        <v>96</v>
      </c>
      <c r="AA99" s="43">
        <v>46195</v>
      </c>
      <c r="AB99" s="39" t="s">
        <v>56</v>
      </c>
      <c r="AC99" s="39" t="s">
        <v>68</v>
      </c>
      <c r="AD99" s="36" t="s">
        <v>82</v>
      </c>
      <c r="AE99" s="39" t="s">
        <v>59</v>
      </c>
      <c r="AF99" s="39" t="s">
        <v>60</v>
      </c>
      <c r="AG99" s="14"/>
      <c r="AH99" s="14"/>
    </row>
    <row r="100" spans="1:34" ht="15" customHeight="1" x14ac:dyDescent="0.2">
      <c r="A100" s="36" t="s">
        <v>369</v>
      </c>
      <c r="B100" s="36" t="s">
        <v>37</v>
      </c>
      <c r="C100" s="36" t="s">
        <v>38</v>
      </c>
      <c r="D100" s="36" t="s">
        <v>39</v>
      </c>
      <c r="E100" s="36" t="s">
        <v>714</v>
      </c>
      <c r="F100" s="37" t="s">
        <v>715</v>
      </c>
      <c r="G100" s="36">
        <f>VLOOKUP(F100,'[1]Saldos de Cartera'!$E$8:$S$343,15,0)</f>
        <v>24939.7</v>
      </c>
      <c r="H100" s="36" t="s">
        <v>42</v>
      </c>
      <c r="I100" s="38">
        <v>45401</v>
      </c>
      <c r="J100" s="44" t="s">
        <v>2352</v>
      </c>
      <c r="K100" s="36" t="s">
        <v>43</v>
      </c>
      <c r="L100" s="36" t="s">
        <v>716</v>
      </c>
      <c r="M100" s="36" t="s">
        <v>45</v>
      </c>
      <c r="N100" s="36" t="s">
        <v>118</v>
      </c>
      <c r="O100" s="36" t="s">
        <v>47</v>
      </c>
      <c r="P100" s="42">
        <v>45709</v>
      </c>
      <c r="Q100" s="36" t="s">
        <v>717</v>
      </c>
      <c r="R100" s="39">
        <v>191547</v>
      </c>
      <c r="S100" s="39" t="s">
        <v>49</v>
      </c>
      <c r="T100" s="36" t="s">
        <v>50</v>
      </c>
      <c r="U100" s="42">
        <v>45814</v>
      </c>
      <c r="V100" s="36" t="s">
        <v>718</v>
      </c>
      <c r="W100" s="39" t="s">
        <v>88</v>
      </c>
      <c r="X100" s="36" t="s">
        <v>719</v>
      </c>
      <c r="Y100" s="39" t="s">
        <v>720</v>
      </c>
      <c r="Z100" s="36" t="s">
        <v>55</v>
      </c>
      <c r="AA100" s="41">
        <v>46195</v>
      </c>
      <c r="AB100" s="39" t="s">
        <v>56</v>
      </c>
      <c r="AC100" s="36" t="s">
        <v>721</v>
      </c>
      <c r="AD100" s="36" t="s">
        <v>69</v>
      </c>
      <c r="AE100" s="39" t="s">
        <v>59</v>
      </c>
      <c r="AF100" s="39" t="s">
        <v>60</v>
      </c>
      <c r="AG100" s="14"/>
      <c r="AH100" s="14"/>
    </row>
    <row r="101" spans="1:34" ht="15" customHeight="1" x14ac:dyDescent="0.2">
      <c r="A101" s="36" t="s">
        <v>369</v>
      </c>
      <c r="B101" s="36" t="s">
        <v>37</v>
      </c>
      <c r="C101" s="36" t="s">
        <v>38</v>
      </c>
      <c r="D101" s="36" t="s">
        <v>39</v>
      </c>
      <c r="E101" s="36" t="s">
        <v>722</v>
      </c>
      <c r="F101" s="37" t="s">
        <v>723</v>
      </c>
      <c r="G101" s="36">
        <f>VLOOKUP(F101,'[1]Saldos de Cartera'!$E$8:$S$343,15,0)</f>
        <v>105391.82</v>
      </c>
      <c r="H101" s="36" t="s">
        <v>42</v>
      </c>
      <c r="I101" s="38">
        <v>45077</v>
      </c>
      <c r="J101" s="44" t="s">
        <v>2353</v>
      </c>
      <c r="K101" s="36" t="s">
        <v>43</v>
      </c>
      <c r="L101" s="36" t="s">
        <v>724</v>
      </c>
      <c r="M101" s="36" t="s">
        <v>45</v>
      </c>
      <c r="N101" s="36" t="s">
        <v>385</v>
      </c>
      <c r="O101" s="36" t="s">
        <v>47</v>
      </c>
      <c r="P101" s="41">
        <v>45071</v>
      </c>
      <c r="Q101" s="36" t="s">
        <v>725</v>
      </c>
      <c r="R101" s="39">
        <v>561196</v>
      </c>
      <c r="S101" s="39" t="s">
        <v>49</v>
      </c>
      <c r="T101" s="36" t="s">
        <v>50</v>
      </c>
      <c r="U101" s="42">
        <v>45183</v>
      </c>
      <c r="V101" s="36" t="s">
        <v>726</v>
      </c>
      <c r="W101" s="39" t="s">
        <v>52</v>
      </c>
      <c r="X101" s="36" t="s">
        <v>727</v>
      </c>
      <c r="Y101" s="39" t="s">
        <v>728</v>
      </c>
      <c r="Z101" s="36" t="s">
        <v>55</v>
      </c>
      <c r="AA101" s="41">
        <v>46195</v>
      </c>
      <c r="AB101" s="39" t="s">
        <v>56</v>
      </c>
      <c r="AC101" s="36" t="s">
        <v>90</v>
      </c>
      <c r="AD101" s="36" t="s">
        <v>69</v>
      </c>
      <c r="AE101" s="39" t="s">
        <v>91</v>
      </c>
      <c r="AF101" s="39" t="s">
        <v>99</v>
      </c>
      <c r="AG101" s="14"/>
      <c r="AH101" s="14"/>
    </row>
    <row r="102" spans="1:34" ht="15" customHeight="1" x14ac:dyDescent="0.2">
      <c r="A102" s="36" t="s">
        <v>369</v>
      </c>
      <c r="B102" s="36" t="s">
        <v>37</v>
      </c>
      <c r="C102" s="36" t="s">
        <v>38</v>
      </c>
      <c r="D102" s="36" t="s">
        <v>39</v>
      </c>
      <c r="E102" s="36" t="s">
        <v>729</v>
      </c>
      <c r="F102" s="37" t="s">
        <v>730</v>
      </c>
      <c r="G102" s="36">
        <f>VLOOKUP(F102,'[1]Saldos de Cartera'!$E$8:$S$343,15,0)</f>
        <v>22723.439999999999</v>
      </c>
      <c r="H102" s="36" t="s">
        <v>42</v>
      </c>
      <c r="I102" s="38">
        <v>45133</v>
      </c>
      <c r="J102" s="44" t="s">
        <v>2354</v>
      </c>
      <c r="K102" s="36" t="s">
        <v>72</v>
      </c>
      <c r="L102" s="36" t="s">
        <v>731</v>
      </c>
      <c r="M102" s="36" t="s">
        <v>45</v>
      </c>
      <c r="N102" s="36" t="s">
        <v>118</v>
      </c>
      <c r="O102" s="36" t="s">
        <v>96</v>
      </c>
      <c r="P102" s="36"/>
      <c r="Q102" s="36"/>
      <c r="R102" s="39"/>
      <c r="S102" s="36"/>
      <c r="T102" s="36" t="s">
        <v>50</v>
      </c>
      <c r="U102" s="41">
        <v>45131</v>
      </c>
      <c r="V102" s="36" t="s">
        <v>732</v>
      </c>
      <c r="W102" s="39" t="s">
        <v>52</v>
      </c>
      <c r="X102" s="39" t="s">
        <v>96</v>
      </c>
      <c r="Y102" s="39" t="s">
        <v>733</v>
      </c>
      <c r="Z102" s="36" t="s">
        <v>96</v>
      </c>
      <c r="AA102" s="41">
        <v>46197</v>
      </c>
      <c r="AB102" s="39" t="s">
        <v>56</v>
      </c>
      <c r="AC102" s="36" t="s">
        <v>734</v>
      </c>
      <c r="AD102" s="36" t="s">
        <v>69</v>
      </c>
      <c r="AE102" s="39" t="s">
        <v>59</v>
      </c>
      <c r="AF102" s="39" t="s">
        <v>60</v>
      </c>
      <c r="AG102" s="14"/>
      <c r="AH102" s="14"/>
    </row>
    <row r="103" spans="1:34" ht="15" customHeight="1" x14ac:dyDescent="0.2">
      <c r="A103" s="36" t="s">
        <v>369</v>
      </c>
      <c r="B103" s="36" t="s">
        <v>37</v>
      </c>
      <c r="C103" s="36" t="s">
        <v>38</v>
      </c>
      <c r="D103" s="36" t="s">
        <v>39</v>
      </c>
      <c r="E103" s="36" t="s">
        <v>735</v>
      </c>
      <c r="F103" s="37" t="s">
        <v>736</v>
      </c>
      <c r="G103" s="36">
        <f>VLOOKUP(F103,'[1]Saldos de Cartera'!$E$8:$S$343,15,0)</f>
        <v>10000</v>
      </c>
      <c r="H103" s="36" t="s">
        <v>42</v>
      </c>
      <c r="I103" s="38">
        <v>45098</v>
      </c>
      <c r="J103" s="44" t="s">
        <v>2355</v>
      </c>
      <c r="K103" s="36" t="s">
        <v>72</v>
      </c>
      <c r="L103" s="36" t="s">
        <v>737</v>
      </c>
      <c r="M103" s="36" t="s">
        <v>45</v>
      </c>
      <c r="N103" s="36" t="s">
        <v>221</v>
      </c>
      <c r="O103" s="36" t="s">
        <v>96</v>
      </c>
      <c r="P103" s="36"/>
      <c r="Q103" s="36"/>
      <c r="R103" s="39"/>
      <c r="S103" s="36"/>
      <c r="T103" s="36" t="s">
        <v>50</v>
      </c>
      <c r="U103" s="41">
        <v>45705</v>
      </c>
      <c r="V103" s="36" t="s">
        <v>738</v>
      </c>
      <c r="W103" s="39" t="s">
        <v>52</v>
      </c>
      <c r="X103" s="39" t="s">
        <v>96</v>
      </c>
      <c r="Y103" s="39" t="s">
        <v>739</v>
      </c>
      <c r="Z103" s="36" t="s">
        <v>96</v>
      </c>
      <c r="AA103" s="41">
        <v>46195</v>
      </c>
      <c r="AB103" s="39" t="s">
        <v>56</v>
      </c>
      <c r="AC103" s="36" t="s">
        <v>68</v>
      </c>
      <c r="AD103" s="36" t="s">
        <v>69</v>
      </c>
      <c r="AE103" s="39" t="s">
        <v>59</v>
      </c>
      <c r="AF103" s="39" t="s">
        <v>60</v>
      </c>
      <c r="AG103" s="14"/>
      <c r="AH103" s="14"/>
    </row>
    <row r="104" spans="1:34" ht="15" customHeight="1" x14ac:dyDescent="0.2">
      <c r="A104" s="36" t="s">
        <v>369</v>
      </c>
      <c r="B104" s="36" t="s">
        <v>37</v>
      </c>
      <c r="C104" s="36" t="s">
        <v>38</v>
      </c>
      <c r="D104" s="36" t="s">
        <v>39</v>
      </c>
      <c r="E104" s="36" t="s">
        <v>740</v>
      </c>
      <c r="F104" s="37" t="s">
        <v>741</v>
      </c>
      <c r="G104" s="36">
        <f>VLOOKUP(F104,'[1]Saldos de Cartera'!$E$8:$S$343,15,0)</f>
        <v>10503.71</v>
      </c>
      <c r="H104" s="36" t="s">
        <v>42</v>
      </c>
      <c r="I104" s="38">
        <v>45076</v>
      </c>
      <c r="J104" s="44" t="s">
        <v>2356</v>
      </c>
      <c r="K104" s="36" t="s">
        <v>72</v>
      </c>
      <c r="L104" s="36" t="s">
        <v>742</v>
      </c>
      <c r="M104" s="36" t="s">
        <v>45</v>
      </c>
      <c r="N104" s="36" t="s">
        <v>385</v>
      </c>
      <c r="O104" s="36" t="s">
        <v>47</v>
      </c>
      <c r="P104" s="42">
        <v>45182</v>
      </c>
      <c r="Q104" s="36" t="s">
        <v>743</v>
      </c>
      <c r="R104" s="39">
        <v>633948</v>
      </c>
      <c r="S104" s="39" t="s">
        <v>49</v>
      </c>
      <c r="T104" s="36" t="s">
        <v>50</v>
      </c>
      <c r="U104" s="41">
        <v>45245</v>
      </c>
      <c r="V104" s="36" t="s">
        <v>744</v>
      </c>
      <c r="W104" s="39" t="s">
        <v>52</v>
      </c>
      <c r="X104" s="36" t="s">
        <v>745</v>
      </c>
      <c r="Y104" s="39" t="s">
        <v>746</v>
      </c>
      <c r="Z104" s="36" t="s">
        <v>249</v>
      </c>
      <c r="AA104" s="41">
        <v>46197</v>
      </c>
      <c r="AB104" s="39" t="s">
        <v>56</v>
      </c>
      <c r="AC104" s="36" t="s">
        <v>68</v>
      </c>
      <c r="AD104" s="36" t="s">
        <v>69</v>
      </c>
      <c r="AE104" s="39" t="s">
        <v>59</v>
      </c>
      <c r="AF104" s="39" t="s">
        <v>60</v>
      </c>
      <c r="AG104" s="14"/>
      <c r="AH104" s="14"/>
    </row>
    <row r="105" spans="1:34" ht="15" customHeight="1" x14ac:dyDescent="0.2">
      <c r="A105" s="36" t="s">
        <v>369</v>
      </c>
      <c r="B105" s="36" t="s">
        <v>37</v>
      </c>
      <c r="C105" s="36" t="s">
        <v>38</v>
      </c>
      <c r="D105" s="36" t="s">
        <v>39</v>
      </c>
      <c r="E105" s="36" t="s">
        <v>747</v>
      </c>
      <c r="F105" s="37" t="s">
        <v>748</v>
      </c>
      <c r="G105" s="36">
        <f>VLOOKUP(F105,'[1]Saldos de Cartera'!$E$8:$S$343,15,0)</f>
        <v>57404.84</v>
      </c>
      <c r="H105" s="36" t="s">
        <v>42</v>
      </c>
      <c r="I105" s="38">
        <v>45726</v>
      </c>
      <c r="J105" s="44" t="s">
        <v>2357</v>
      </c>
      <c r="K105" s="36" t="s">
        <v>43</v>
      </c>
      <c r="L105" s="36" t="s">
        <v>749</v>
      </c>
      <c r="M105" s="36" t="s">
        <v>45</v>
      </c>
      <c r="N105" s="36" t="s">
        <v>343</v>
      </c>
      <c r="O105" s="36" t="s">
        <v>47</v>
      </c>
      <c r="P105" s="42">
        <v>45722</v>
      </c>
      <c r="Q105" s="36" t="s">
        <v>750</v>
      </c>
      <c r="R105" s="39">
        <v>811844</v>
      </c>
      <c r="S105" s="39" t="s">
        <v>49</v>
      </c>
      <c r="T105" s="36" t="s">
        <v>50</v>
      </c>
      <c r="U105" s="42">
        <v>46129</v>
      </c>
      <c r="V105" s="36" t="s">
        <v>751</v>
      </c>
      <c r="W105" s="36" t="s">
        <v>88</v>
      </c>
      <c r="X105" s="36" t="s">
        <v>752</v>
      </c>
      <c r="Y105" s="39" t="s">
        <v>753</v>
      </c>
      <c r="Z105" s="36" t="s">
        <v>55</v>
      </c>
      <c r="AA105" s="41">
        <v>46195</v>
      </c>
      <c r="AB105" s="39" t="s">
        <v>56</v>
      </c>
      <c r="AC105" s="36" t="s">
        <v>68</v>
      </c>
      <c r="AD105" s="36" t="s">
        <v>69</v>
      </c>
      <c r="AE105" s="39" t="s">
        <v>59</v>
      </c>
      <c r="AF105" s="39" t="s">
        <v>60</v>
      </c>
      <c r="AG105" s="14"/>
      <c r="AH105" s="14"/>
    </row>
    <row r="106" spans="1:34" ht="15" customHeight="1" x14ac:dyDescent="0.2">
      <c r="A106" s="36" t="s">
        <v>369</v>
      </c>
      <c r="B106" s="36" t="s">
        <v>37</v>
      </c>
      <c r="C106" s="36" t="s">
        <v>38</v>
      </c>
      <c r="D106" s="36" t="s">
        <v>39</v>
      </c>
      <c r="E106" s="36" t="s">
        <v>754</v>
      </c>
      <c r="F106" s="37" t="s">
        <v>755</v>
      </c>
      <c r="G106" s="36">
        <f>VLOOKUP(F106,'[1]Saldos de Cartera'!$E$8:$S$343,15,0)</f>
        <v>9174.98</v>
      </c>
      <c r="H106" s="36" t="s">
        <v>42</v>
      </c>
      <c r="I106" s="38">
        <v>45038</v>
      </c>
      <c r="J106" s="44" t="s">
        <v>2358</v>
      </c>
      <c r="K106" s="36" t="s">
        <v>43</v>
      </c>
      <c r="L106" s="36" t="s">
        <v>756</v>
      </c>
      <c r="M106" s="36" t="s">
        <v>45</v>
      </c>
      <c r="N106" s="36" t="s">
        <v>118</v>
      </c>
      <c r="O106" s="36" t="s">
        <v>47</v>
      </c>
      <c r="P106" s="42">
        <v>45037</v>
      </c>
      <c r="Q106" s="36" t="s">
        <v>757</v>
      </c>
      <c r="R106" s="39">
        <v>974111</v>
      </c>
      <c r="S106" s="39" t="s">
        <v>49</v>
      </c>
      <c r="T106" s="36" t="s">
        <v>50</v>
      </c>
      <c r="U106" s="42">
        <v>45131</v>
      </c>
      <c r="V106" s="36" t="s">
        <v>758</v>
      </c>
      <c r="W106" s="39" t="s">
        <v>52</v>
      </c>
      <c r="X106" s="36" t="s">
        <v>759</v>
      </c>
      <c r="Y106" s="39" t="s">
        <v>760</v>
      </c>
      <c r="Z106" s="36" t="s">
        <v>55</v>
      </c>
      <c r="AA106" s="41">
        <v>46195</v>
      </c>
      <c r="AB106" s="39" t="s">
        <v>56</v>
      </c>
      <c r="AC106" s="36" t="s">
        <v>90</v>
      </c>
      <c r="AD106" s="36" t="s">
        <v>69</v>
      </c>
      <c r="AE106" s="39" t="s">
        <v>91</v>
      </c>
      <c r="AF106" s="39" t="s">
        <v>99</v>
      </c>
      <c r="AG106" s="14"/>
      <c r="AH106" s="14"/>
    </row>
    <row r="107" spans="1:34" ht="15" customHeight="1" x14ac:dyDescent="0.2">
      <c r="A107" s="36" t="s">
        <v>369</v>
      </c>
      <c r="B107" s="36" t="s">
        <v>37</v>
      </c>
      <c r="C107" s="36" t="s">
        <v>38</v>
      </c>
      <c r="D107" s="36" t="s">
        <v>39</v>
      </c>
      <c r="E107" s="36" t="s">
        <v>761</v>
      </c>
      <c r="F107" s="37" t="s">
        <v>762</v>
      </c>
      <c r="G107" s="36">
        <f>VLOOKUP(F107,'[1]Saldos de Cartera'!$E$8:$S$343,15,0)</f>
        <v>20000</v>
      </c>
      <c r="H107" s="36" t="s">
        <v>42</v>
      </c>
      <c r="I107" s="38">
        <v>45077</v>
      </c>
      <c r="J107" s="44" t="s">
        <v>2359</v>
      </c>
      <c r="K107" s="36" t="s">
        <v>72</v>
      </c>
      <c r="L107" s="36" t="s">
        <v>763</v>
      </c>
      <c r="M107" s="36" t="s">
        <v>45</v>
      </c>
      <c r="N107" s="36" t="s">
        <v>118</v>
      </c>
      <c r="O107" s="36" t="s">
        <v>96</v>
      </c>
      <c r="P107" s="36"/>
      <c r="Q107" s="36"/>
      <c r="R107" s="39"/>
      <c r="S107" s="36"/>
      <c r="T107" s="36" t="s">
        <v>50</v>
      </c>
      <c r="U107" s="41">
        <v>45069</v>
      </c>
      <c r="V107" s="36" t="s">
        <v>764</v>
      </c>
      <c r="W107" s="39" t="s">
        <v>52</v>
      </c>
      <c r="X107" s="39" t="s">
        <v>96</v>
      </c>
      <c r="Y107" s="39" t="s">
        <v>765</v>
      </c>
      <c r="Z107" s="36" t="s">
        <v>96</v>
      </c>
      <c r="AA107" s="41">
        <v>46196</v>
      </c>
      <c r="AB107" s="39" t="s">
        <v>56</v>
      </c>
      <c r="AC107" s="36" t="s">
        <v>68</v>
      </c>
      <c r="AD107" s="36" t="s">
        <v>69</v>
      </c>
      <c r="AE107" s="39" t="s">
        <v>59</v>
      </c>
      <c r="AF107" s="39" t="s">
        <v>60</v>
      </c>
      <c r="AG107" s="14"/>
      <c r="AH107" s="14"/>
    </row>
    <row r="108" spans="1:34" ht="15" customHeight="1" x14ac:dyDescent="0.2">
      <c r="A108" s="36" t="s">
        <v>369</v>
      </c>
      <c r="B108" s="36" t="s">
        <v>37</v>
      </c>
      <c r="C108" s="36" t="s">
        <v>38</v>
      </c>
      <c r="D108" s="36" t="s">
        <v>39</v>
      </c>
      <c r="E108" s="36" t="s">
        <v>766</v>
      </c>
      <c r="F108" s="37" t="s">
        <v>767</v>
      </c>
      <c r="G108" s="36">
        <f>VLOOKUP(F108,'[1]Saldos de Cartera'!$E$8:$S$343,15,0)</f>
        <v>23483.45</v>
      </c>
      <c r="H108" s="36" t="s">
        <v>42</v>
      </c>
      <c r="I108" s="38">
        <v>44961</v>
      </c>
      <c r="J108" s="44" t="s">
        <v>324</v>
      </c>
      <c r="K108" s="36" t="s">
        <v>43</v>
      </c>
      <c r="L108" s="36" t="s">
        <v>768</v>
      </c>
      <c r="M108" s="36" t="s">
        <v>45</v>
      </c>
      <c r="N108" s="36" t="s">
        <v>769</v>
      </c>
      <c r="O108" s="36" t="s">
        <v>96</v>
      </c>
      <c r="P108" s="36"/>
      <c r="Q108" s="36"/>
      <c r="R108" s="39"/>
      <c r="S108" s="36"/>
      <c r="T108" s="36" t="s">
        <v>327</v>
      </c>
      <c r="U108" s="42">
        <v>44959</v>
      </c>
      <c r="V108" s="36" t="s">
        <v>770</v>
      </c>
      <c r="W108" s="39" t="s">
        <v>52</v>
      </c>
      <c r="X108" s="36" t="s">
        <v>771</v>
      </c>
      <c r="Y108" s="39" t="s">
        <v>772</v>
      </c>
      <c r="Z108" s="36" t="s">
        <v>55</v>
      </c>
      <c r="AA108" s="41">
        <v>46197</v>
      </c>
      <c r="AB108" s="39" t="s">
        <v>56</v>
      </c>
      <c r="AC108" s="36" t="s">
        <v>773</v>
      </c>
      <c r="AD108" s="39" t="s">
        <v>58</v>
      </c>
      <c r="AE108" s="39" t="s">
        <v>91</v>
      </c>
      <c r="AF108" s="39" t="s">
        <v>60</v>
      </c>
      <c r="AG108" s="14"/>
      <c r="AH108" s="14"/>
    </row>
    <row r="109" spans="1:34" ht="15" customHeight="1" x14ac:dyDescent="0.2">
      <c r="A109" s="36" t="s">
        <v>369</v>
      </c>
      <c r="B109" s="36" t="s">
        <v>37</v>
      </c>
      <c r="C109" s="36" t="s">
        <v>38</v>
      </c>
      <c r="D109" s="36" t="s">
        <v>39</v>
      </c>
      <c r="E109" s="36" t="s">
        <v>774</v>
      </c>
      <c r="F109" s="37" t="s">
        <v>775</v>
      </c>
      <c r="G109" s="36">
        <f>VLOOKUP(F109,'[1]Saldos de Cartera'!$E$8:$S$343,15,0)</f>
        <v>39405.980000000003</v>
      </c>
      <c r="H109" s="36" t="s">
        <v>42</v>
      </c>
      <c r="I109" s="38">
        <v>45535</v>
      </c>
      <c r="J109" s="44" t="s">
        <v>2360</v>
      </c>
      <c r="K109" s="36" t="s">
        <v>43</v>
      </c>
      <c r="L109" s="36" t="s">
        <v>776</v>
      </c>
      <c r="M109" s="36" t="s">
        <v>45</v>
      </c>
      <c r="N109" s="36" t="s">
        <v>46</v>
      </c>
      <c r="O109" s="36" t="s">
        <v>47</v>
      </c>
      <c r="P109" s="41">
        <v>45530</v>
      </c>
      <c r="Q109" s="36" t="s">
        <v>777</v>
      </c>
      <c r="R109" s="39">
        <v>970145</v>
      </c>
      <c r="S109" s="39" t="s">
        <v>49</v>
      </c>
      <c r="T109" s="36" t="s">
        <v>50</v>
      </c>
      <c r="U109" s="41">
        <v>45966</v>
      </c>
      <c r="V109" s="39" t="s">
        <v>778</v>
      </c>
      <c r="W109" s="39" t="s">
        <v>88</v>
      </c>
      <c r="X109" s="36" t="s">
        <v>779</v>
      </c>
      <c r="Y109" s="39" t="s">
        <v>780</v>
      </c>
      <c r="Z109" s="36" t="s">
        <v>55</v>
      </c>
      <c r="AA109" s="41">
        <v>46195</v>
      </c>
      <c r="AB109" s="39" t="s">
        <v>56</v>
      </c>
      <c r="AC109" s="36" t="s">
        <v>781</v>
      </c>
      <c r="AD109" s="36" t="s">
        <v>82</v>
      </c>
      <c r="AE109" s="39" t="s">
        <v>59</v>
      </c>
      <c r="AF109" s="39" t="s">
        <v>60</v>
      </c>
      <c r="AG109" s="14"/>
      <c r="AH109" s="14"/>
    </row>
    <row r="110" spans="1:34" ht="15" customHeight="1" x14ac:dyDescent="0.2">
      <c r="A110" s="36" t="s">
        <v>369</v>
      </c>
      <c r="B110" s="36" t="s">
        <v>37</v>
      </c>
      <c r="C110" s="36" t="s">
        <v>38</v>
      </c>
      <c r="D110" s="36" t="s">
        <v>39</v>
      </c>
      <c r="E110" s="36" t="s">
        <v>782</v>
      </c>
      <c r="F110" s="37" t="s">
        <v>783</v>
      </c>
      <c r="G110" s="36">
        <f>VLOOKUP(F110,'[1]Saldos de Cartera'!$E$8:$S$343,15,0)</f>
        <v>9851.02</v>
      </c>
      <c r="H110" s="36" t="s">
        <v>42</v>
      </c>
      <c r="I110" s="38">
        <v>45869</v>
      </c>
      <c r="J110" s="44" t="s">
        <v>2361</v>
      </c>
      <c r="K110" s="36" t="s">
        <v>43</v>
      </c>
      <c r="L110" s="36" t="s">
        <v>784</v>
      </c>
      <c r="M110" s="36" t="s">
        <v>45</v>
      </c>
      <c r="N110" s="36" t="s">
        <v>118</v>
      </c>
      <c r="O110" s="36" t="s">
        <v>47</v>
      </c>
      <c r="P110" s="40">
        <v>45904</v>
      </c>
      <c r="Q110" s="39" t="s">
        <v>785</v>
      </c>
      <c r="R110" s="39">
        <v>305398</v>
      </c>
      <c r="S110" s="39" t="s">
        <v>49</v>
      </c>
      <c r="T110" s="36" t="s">
        <v>50</v>
      </c>
      <c r="U110" s="40">
        <v>45904</v>
      </c>
      <c r="V110" s="39" t="s">
        <v>786</v>
      </c>
      <c r="W110" s="39" t="s">
        <v>88</v>
      </c>
      <c r="X110" s="39" t="s">
        <v>787</v>
      </c>
      <c r="Y110" s="39" t="s">
        <v>788</v>
      </c>
      <c r="Z110" s="36" t="s">
        <v>80</v>
      </c>
      <c r="AA110" s="41">
        <v>46195</v>
      </c>
      <c r="AB110" s="39" t="s">
        <v>56</v>
      </c>
      <c r="AC110" s="36" t="s">
        <v>68</v>
      </c>
      <c r="AD110" s="39" t="s">
        <v>69</v>
      </c>
      <c r="AE110" s="39" t="s">
        <v>91</v>
      </c>
      <c r="AF110" s="39" t="s">
        <v>99</v>
      </c>
      <c r="AG110" s="14"/>
      <c r="AH110" s="14"/>
    </row>
    <row r="111" spans="1:34" ht="15" customHeight="1" x14ac:dyDescent="0.2">
      <c r="A111" s="36" t="s">
        <v>369</v>
      </c>
      <c r="B111" s="36" t="s">
        <v>37</v>
      </c>
      <c r="C111" s="36" t="s">
        <v>38</v>
      </c>
      <c r="D111" s="36" t="s">
        <v>39</v>
      </c>
      <c r="E111" s="36" t="s">
        <v>789</v>
      </c>
      <c r="F111" s="37" t="s">
        <v>790</v>
      </c>
      <c r="G111" s="36">
        <f>VLOOKUP(F111,'[1]Saldos de Cartera'!$E$8:$S$343,15,0)</f>
        <v>36808.639999999999</v>
      </c>
      <c r="H111" s="36" t="s">
        <v>42</v>
      </c>
      <c r="I111" s="38">
        <v>45405</v>
      </c>
      <c r="J111" s="44" t="s">
        <v>2362</v>
      </c>
      <c r="K111" s="36" t="s">
        <v>43</v>
      </c>
      <c r="L111" s="36" t="s">
        <v>791</v>
      </c>
      <c r="M111" s="36" t="s">
        <v>45</v>
      </c>
      <c r="N111" s="36" t="s">
        <v>326</v>
      </c>
      <c r="O111" s="36" t="s">
        <v>47</v>
      </c>
      <c r="P111" s="42">
        <v>45404</v>
      </c>
      <c r="Q111" s="36" t="s">
        <v>792</v>
      </c>
      <c r="R111" s="39">
        <v>294484</v>
      </c>
      <c r="S111" s="39" t="s">
        <v>49</v>
      </c>
      <c r="T111" s="36" t="s">
        <v>50</v>
      </c>
      <c r="U111" s="42">
        <v>45491</v>
      </c>
      <c r="V111" s="36" t="s">
        <v>793</v>
      </c>
      <c r="W111" s="39" t="s">
        <v>88</v>
      </c>
      <c r="X111" s="36" t="s">
        <v>794</v>
      </c>
      <c r="Y111" s="39" t="s">
        <v>795</v>
      </c>
      <c r="Z111" s="36" t="s">
        <v>55</v>
      </c>
      <c r="AA111" s="41">
        <v>46195</v>
      </c>
      <c r="AB111" s="39" t="s">
        <v>56</v>
      </c>
      <c r="AC111" s="36" t="s">
        <v>90</v>
      </c>
      <c r="AD111" s="36" t="s">
        <v>69</v>
      </c>
      <c r="AE111" s="39" t="s">
        <v>91</v>
      </c>
      <c r="AF111" s="39" t="s">
        <v>99</v>
      </c>
      <c r="AG111" s="14"/>
      <c r="AH111" s="14"/>
    </row>
    <row r="112" spans="1:34" ht="15" customHeight="1" x14ac:dyDescent="0.2">
      <c r="A112" s="36" t="s">
        <v>369</v>
      </c>
      <c r="B112" s="36" t="s">
        <v>37</v>
      </c>
      <c r="C112" s="36" t="s">
        <v>38</v>
      </c>
      <c r="D112" s="36" t="s">
        <v>39</v>
      </c>
      <c r="E112" s="36" t="s">
        <v>796</v>
      </c>
      <c r="F112" s="37" t="s">
        <v>797</v>
      </c>
      <c r="G112" s="36">
        <f>VLOOKUP(F112,'[1]Saldos de Cartera'!$E$8:$S$343,15,0)</f>
        <v>29132.49</v>
      </c>
      <c r="H112" s="36" t="s">
        <v>42</v>
      </c>
      <c r="I112" s="38">
        <v>45916</v>
      </c>
      <c r="J112" s="44" t="s">
        <v>2363</v>
      </c>
      <c r="K112" s="36" t="s">
        <v>72</v>
      </c>
      <c r="L112" s="36" t="s">
        <v>798</v>
      </c>
      <c r="M112" s="36" t="s">
        <v>45</v>
      </c>
      <c r="N112" s="36" t="s">
        <v>95</v>
      </c>
      <c r="O112" s="36" t="s">
        <v>96</v>
      </c>
      <c r="P112" s="39"/>
      <c r="Q112" s="39"/>
      <c r="R112" s="39"/>
      <c r="S112" s="36"/>
      <c r="T112" s="36" t="s">
        <v>50</v>
      </c>
      <c r="U112" s="40">
        <v>45904</v>
      </c>
      <c r="V112" s="39" t="s">
        <v>799</v>
      </c>
      <c r="W112" s="39" t="s">
        <v>52</v>
      </c>
      <c r="X112" s="39" t="s">
        <v>96</v>
      </c>
      <c r="Y112" s="39" t="s">
        <v>800</v>
      </c>
      <c r="Z112" s="39" t="s">
        <v>96</v>
      </c>
      <c r="AA112" s="43">
        <v>46195</v>
      </c>
      <c r="AB112" s="39" t="s">
        <v>56</v>
      </c>
      <c r="AC112" s="39" t="s">
        <v>68</v>
      </c>
      <c r="AD112" s="36" t="s">
        <v>82</v>
      </c>
      <c r="AE112" s="39" t="s">
        <v>59</v>
      </c>
      <c r="AF112" s="39" t="s">
        <v>60</v>
      </c>
      <c r="AG112" s="14"/>
      <c r="AH112" s="14"/>
    </row>
    <row r="113" spans="1:34" ht="15" customHeight="1" x14ac:dyDescent="0.2">
      <c r="A113" s="36" t="s">
        <v>369</v>
      </c>
      <c r="B113" s="36" t="s">
        <v>37</v>
      </c>
      <c r="C113" s="36" t="s">
        <v>38</v>
      </c>
      <c r="D113" s="36" t="s">
        <v>39</v>
      </c>
      <c r="E113" s="36" t="s">
        <v>801</v>
      </c>
      <c r="F113" s="37" t="s">
        <v>802</v>
      </c>
      <c r="G113" s="36">
        <f>VLOOKUP(F113,'[1]Saldos de Cartera'!$E$8:$S$343,15,0)</f>
        <v>18556.8</v>
      </c>
      <c r="H113" s="36" t="s">
        <v>42</v>
      </c>
      <c r="I113" s="38">
        <v>45077</v>
      </c>
      <c r="J113" s="44" t="s">
        <v>2364</v>
      </c>
      <c r="K113" s="36" t="s">
        <v>72</v>
      </c>
      <c r="L113" s="36" t="s">
        <v>803</v>
      </c>
      <c r="M113" s="36" t="s">
        <v>45</v>
      </c>
      <c r="N113" s="36" t="s">
        <v>499</v>
      </c>
      <c r="O113" s="36" t="s">
        <v>96</v>
      </c>
      <c r="P113" s="36"/>
      <c r="Q113" s="36"/>
      <c r="R113" s="39"/>
      <c r="S113" s="36"/>
      <c r="T113" s="36" t="s">
        <v>50</v>
      </c>
      <c r="U113" s="40">
        <v>45069</v>
      </c>
      <c r="V113" s="36" t="s">
        <v>804</v>
      </c>
      <c r="W113" s="39" t="s">
        <v>88</v>
      </c>
      <c r="X113" s="39" t="s">
        <v>96</v>
      </c>
      <c r="Y113" s="39" t="s">
        <v>805</v>
      </c>
      <c r="Z113" s="36" t="s">
        <v>96</v>
      </c>
      <c r="AA113" s="41">
        <v>46196</v>
      </c>
      <c r="AB113" s="39" t="s">
        <v>56</v>
      </c>
      <c r="AC113" s="36" t="s">
        <v>555</v>
      </c>
      <c r="AD113" s="36" t="s">
        <v>69</v>
      </c>
      <c r="AE113" s="39" t="s">
        <v>59</v>
      </c>
      <c r="AF113" s="39" t="s">
        <v>60</v>
      </c>
      <c r="AG113" s="14"/>
      <c r="AH113" s="14"/>
    </row>
    <row r="114" spans="1:34" ht="15" customHeight="1" x14ac:dyDescent="0.2">
      <c r="A114" s="36" t="s">
        <v>369</v>
      </c>
      <c r="B114" s="36" t="s">
        <v>37</v>
      </c>
      <c r="C114" s="36" t="s">
        <v>38</v>
      </c>
      <c r="D114" s="36" t="s">
        <v>39</v>
      </c>
      <c r="E114" s="36" t="s">
        <v>806</v>
      </c>
      <c r="F114" s="37" t="s">
        <v>807</v>
      </c>
      <c r="G114" s="36">
        <f>VLOOKUP(F114,'[1]Saldos de Cartera'!$E$8:$S$343,15,0)</f>
        <v>10100</v>
      </c>
      <c r="H114" s="36" t="s">
        <v>42</v>
      </c>
      <c r="I114" s="38">
        <v>45077</v>
      </c>
      <c r="J114" s="44" t="s">
        <v>2365</v>
      </c>
      <c r="K114" s="36" t="s">
        <v>72</v>
      </c>
      <c r="L114" s="36" t="s">
        <v>808</v>
      </c>
      <c r="M114" s="36" t="s">
        <v>45</v>
      </c>
      <c r="N114" s="36" t="s">
        <v>95</v>
      </c>
      <c r="O114" s="36" t="s">
        <v>96</v>
      </c>
      <c r="P114" s="36"/>
      <c r="Q114" s="36"/>
      <c r="R114" s="39" t="s">
        <v>809</v>
      </c>
      <c r="S114" s="36"/>
      <c r="T114" s="36" t="s">
        <v>50</v>
      </c>
      <c r="U114" s="40">
        <v>45698</v>
      </c>
      <c r="V114" s="36" t="s">
        <v>810</v>
      </c>
      <c r="W114" s="39" t="s">
        <v>52</v>
      </c>
      <c r="X114" s="39" t="s">
        <v>96</v>
      </c>
      <c r="Y114" s="39" t="s">
        <v>811</v>
      </c>
      <c r="Z114" s="36" t="s">
        <v>96</v>
      </c>
      <c r="AA114" s="41">
        <v>46196</v>
      </c>
      <c r="AB114" s="39" t="s">
        <v>56</v>
      </c>
      <c r="AC114" s="36" t="s">
        <v>463</v>
      </c>
      <c r="AD114" s="36" t="s">
        <v>69</v>
      </c>
      <c r="AE114" s="39" t="s">
        <v>59</v>
      </c>
      <c r="AF114" s="39" t="s">
        <v>60</v>
      </c>
      <c r="AG114" s="14"/>
      <c r="AH114" s="14"/>
    </row>
    <row r="115" spans="1:34" ht="15" customHeight="1" x14ac:dyDescent="0.2">
      <c r="A115" s="36" t="s">
        <v>369</v>
      </c>
      <c r="B115" s="36" t="s">
        <v>37</v>
      </c>
      <c r="C115" s="36" t="s">
        <v>38</v>
      </c>
      <c r="D115" s="36" t="s">
        <v>39</v>
      </c>
      <c r="E115" s="36" t="s">
        <v>812</v>
      </c>
      <c r="F115" s="37" t="s">
        <v>813</v>
      </c>
      <c r="G115" s="36">
        <f>VLOOKUP(F115,'[1]Saldos de Cartera'!$E$8:$S$343,15,0)</f>
        <v>22018.639999999999</v>
      </c>
      <c r="H115" s="36" t="s">
        <v>42</v>
      </c>
      <c r="I115" s="38">
        <v>45133</v>
      </c>
      <c r="J115" s="44" t="s">
        <v>2366</v>
      </c>
      <c r="K115" s="36" t="s">
        <v>43</v>
      </c>
      <c r="L115" s="36" t="s">
        <v>814</v>
      </c>
      <c r="M115" s="36" t="s">
        <v>45</v>
      </c>
      <c r="N115" s="36" t="s">
        <v>118</v>
      </c>
      <c r="O115" s="36" t="s">
        <v>47</v>
      </c>
      <c r="P115" s="42">
        <v>45160</v>
      </c>
      <c r="Q115" s="36" t="s">
        <v>815</v>
      </c>
      <c r="R115" s="39"/>
      <c r="S115" s="39" t="s">
        <v>49</v>
      </c>
      <c r="T115" s="36" t="s">
        <v>50</v>
      </c>
      <c r="U115" s="42">
        <v>45237</v>
      </c>
      <c r="V115" s="36" t="s">
        <v>816</v>
      </c>
      <c r="W115" s="39" t="s">
        <v>52</v>
      </c>
      <c r="X115" s="36" t="s">
        <v>817</v>
      </c>
      <c r="Y115" s="39" t="s">
        <v>818</v>
      </c>
      <c r="Z115" s="36" t="s">
        <v>55</v>
      </c>
      <c r="AA115" s="41">
        <v>46195</v>
      </c>
      <c r="AB115" s="39" t="s">
        <v>56</v>
      </c>
      <c r="AC115" s="36" t="s">
        <v>819</v>
      </c>
      <c r="AD115" s="36" t="s">
        <v>69</v>
      </c>
      <c r="AE115" s="39" t="s">
        <v>59</v>
      </c>
      <c r="AF115" s="39" t="s">
        <v>60</v>
      </c>
      <c r="AG115" s="14"/>
      <c r="AH115" s="14"/>
    </row>
    <row r="116" spans="1:34" ht="15" customHeight="1" x14ac:dyDescent="0.2">
      <c r="A116" s="36" t="s">
        <v>369</v>
      </c>
      <c r="B116" s="36" t="s">
        <v>37</v>
      </c>
      <c r="C116" s="36" t="s">
        <v>38</v>
      </c>
      <c r="D116" s="36" t="s">
        <v>39</v>
      </c>
      <c r="E116" s="36" t="s">
        <v>812</v>
      </c>
      <c r="F116" s="37" t="s">
        <v>820</v>
      </c>
      <c r="G116" s="36">
        <f>VLOOKUP(F116,'[1]Saldos de Cartera'!$E$8:$S$343,15,0)</f>
        <v>9279.4</v>
      </c>
      <c r="H116" s="36" t="s">
        <v>42</v>
      </c>
      <c r="I116" s="38">
        <v>45167</v>
      </c>
      <c r="J116" s="44" t="s">
        <v>2367</v>
      </c>
      <c r="K116" s="36" t="s">
        <v>43</v>
      </c>
      <c r="L116" s="36" t="s">
        <v>821</v>
      </c>
      <c r="M116" s="36" t="s">
        <v>45</v>
      </c>
      <c r="N116" s="36" t="s">
        <v>499</v>
      </c>
      <c r="O116" s="36" t="s">
        <v>47</v>
      </c>
      <c r="P116" s="42">
        <v>45132</v>
      </c>
      <c r="Q116" s="36" t="s">
        <v>822</v>
      </c>
      <c r="R116" s="39">
        <v>741069</v>
      </c>
      <c r="S116" s="39" t="s">
        <v>49</v>
      </c>
      <c r="T116" s="36" t="s">
        <v>50</v>
      </c>
      <c r="U116" s="42">
        <v>45237</v>
      </c>
      <c r="V116" s="36" t="s">
        <v>823</v>
      </c>
      <c r="W116" s="39" t="s">
        <v>52</v>
      </c>
      <c r="X116" s="36" t="s">
        <v>824</v>
      </c>
      <c r="Y116" s="39" t="s">
        <v>825</v>
      </c>
      <c r="Z116" s="36" t="s">
        <v>55</v>
      </c>
      <c r="AA116" s="41">
        <v>46195</v>
      </c>
      <c r="AB116" s="39" t="s">
        <v>56</v>
      </c>
      <c r="AC116" s="36" t="s">
        <v>819</v>
      </c>
      <c r="AD116" s="36" t="s">
        <v>58</v>
      </c>
      <c r="AE116" s="39" t="s">
        <v>59</v>
      </c>
      <c r="AF116" s="39" t="s">
        <v>60</v>
      </c>
      <c r="AG116" s="14"/>
      <c r="AH116" s="14"/>
    </row>
    <row r="117" spans="1:34" ht="15" customHeight="1" x14ac:dyDescent="0.2">
      <c r="A117" s="36" t="s">
        <v>369</v>
      </c>
      <c r="B117" s="36" t="s">
        <v>37</v>
      </c>
      <c r="C117" s="36" t="s">
        <v>38</v>
      </c>
      <c r="D117" s="36" t="s">
        <v>39</v>
      </c>
      <c r="E117" s="36" t="s">
        <v>826</v>
      </c>
      <c r="F117" s="37" t="s">
        <v>827</v>
      </c>
      <c r="G117" s="36">
        <f>VLOOKUP(F117,'[1]Saldos de Cartera'!$E$8:$S$343,15,0)</f>
        <v>147400.57</v>
      </c>
      <c r="H117" s="36" t="s">
        <v>42</v>
      </c>
      <c r="I117" s="38">
        <v>45381</v>
      </c>
      <c r="J117" s="44" t="s">
        <v>2368</v>
      </c>
      <c r="K117" s="36" t="s">
        <v>43</v>
      </c>
      <c r="L117" s="36" t="s">
        <v>828</v>
      </c>
      <c r="M117" s="36" t="s">
        <v>45</v>
      </c>
      <c r="N117" s="36" t="s">
        <v>505</v>
      </c>
      <c r="O117" s="36" t="s">
        <v>47</v>
      </c>
      <c r="P117" s="42">
        <v>45378</v>
      </c>
      <c r="Q117" s="36" t="s">
        <v>829</v>
      </c>
      <c r="R117" s="39">
        <v>2144</v>
      </c>
      <c r="S117" s="39" t="s">
        <v>49</v>
      </c>
      <c r="T117" s="36" t="s">
        <v>50</v>
      </c>
      <c r="U117" s="41">
        <v>45989</v>
      </c>
      <c r="V117" s="36" t="s">
        <v>830</v>
      </c>
      <c r="W117" s="36" t="s">
        <v>88</v>
      </c>
      <c r="X117" s="36" t="s">
        <v>831</v>
      </c>
      <c r="Y117" s="39" t="s">
        <v>832</v>
      </c>
      <c r="Z117" s="36" t="s">
        <v>55</v>
      </c>
      <c r="AA117" s="41">
        <v>46195</v>
      </c>
      <c r="AB117" s="39" t="s">
        <v>56</v>
      </c>
      <c r="AC117" s="36" t="s">
        <v>90</v>
      </c>
      <c r="AD117" s="36" t="s">
        <v>69</v>
      </c>
      <c r="AE117" s="39" t="s">
        <v>91</v>
      </c>
      <c r="AF117" s="39" t="s">
        <v>60</v>
      </c>
      <c r="AG117" s="14"/>
      <c r="AH117" s="14"/>
    </row>
    <row r="118" spans="1:34" ht="15" customHeight="1" x14ac:dyDescent="0.2">
      <c r="A118" s="36" t="s">
        <v>369</v>
      </c>
      <c r="B118" s="36" t="s">
        <v>37</v>
      </c>
      <c r="C118" s="36" t="s">
        <v>38</v>
      </c>
      <c r="D118" s="36" t="s">
        <v>39</v>
      </c>
      <c r="E118" s="36" t="s">
        <v>833</v>
      </c>
      <c r="F118" s="37" t="s">
        <v>834</v>
      </c>
      <c r="G118" s="36">
        <f>VLOOKUP(F118,'[1]Saldos de Cartera'!$E$8:$S$343,15,0)</f>
        <v>84667.3</v>
      </c>
      <c r="H118" s="36" t="s">
        <v>42</v>
      </c>
      <c r="I118" s="38">
        <v>45776</v>
      </c>
      <c r="J118" s="44" t="s">
        <v>2369</v>
      </c>
      <c r="K118" s="36" t="s">
        <v>72</v>
      </c>
      <c r="L118" s="36" t="s">
        <v>835</v>
      </c>
      <c r="M118" s="36" t="s">
        <v>45</v>
      </c>
      <c r="N118" s="36" t="s">
        <v>442</v>
      </c>
      <c r="O118" s="36" t="s">
        <v>96</v>
      </c>
      <c r="P118" s="39"/>
      <c r="Q118" s="39"/>
      <c r="R118" s="39"/>
      <c r="S118" s="36"/>
      <c r="T118" s="36" t="s">
        <v>50</v>
      </c>
      <c r="U118" s="40">
        <v>45776</v>
      </c>
      <c r="V118" s="39" t="s">
        <v>836</v>
      </c>
      <c r="W118" s="39" t="s">
        <v>88</v>
      </c>
      <c r="X118" s="39" t="s">
        <v>96</v>
      </c>
      <c r="Y118" s="39" t="s">
        <v>837</v>
      </c>
      <c r="Z118" s="36" t="s">
        <v>96</v>
      </c>
      <c r="AA118" s="41">
        <v>46195</v>
      </c>
      <c r="AB118" s="39" t="s">
        <v>56</v>
      </c>
      <c r="AC118" s="36" t="s">
        <v>838</v>
      </c>
      <c r="AD118" s="36" t="s">
        <v>82</v>
      </c>
      <c r="AE118" s="39" t="s">
        <v>59</v>
      </c>
      <c r="AF118" s="39" t="s">
        <v>60</v>
      </c>
      <c r="AG118" s="14"/>
      <c r="AH118" s="14"/>
    </row>
    <row r="119" spans="1:34" ht="15" customHeight="1" x14ac:dyDescent="0.2">
      <c r="A119" s="36" t="s">
        <v>839</v>
      </c>
      <c r="B119" s="36" t="s">
        <v>37</v>
      </c>
      <c r="C119" s="36" t="s">
        <v>38</v>
      </c>
      <c r="D119" s="36" t="s">
        <v>39</v>
      </c>
      <c r="E119" s="36" t="s">
        <v>840</v>
      </c>
      <c r="F119" s="37" t="s">
        <v>841</v>
      </c>
      <c r="G119" s="36">
        <f>VLOOKUP(F119,'[1]Saldos de Cartera'!$E$8:$S$343,15,0)</f>
        <v>25000</v>
      </c>
      <c r="H119" s="36" t="s">
        <v>42</v>
      </c>
      <c r="I119" s="38">
        <v>45902</v>
      </c>
      <c r="J119" s="44" t="s">
        <v>2370</v>
      </c>
      <c r="K119" s="36" t="s">
        <v>72</v>
      </c>
      <c r="L119" s="36" t="s">
        <v>842</v>
      </c>
      <c r="M119" s="36" t="s">
        <v>45</v>
      </c>
      <c r="N119" s="36" t="s">
        <v>201</v>
      </c>
      <c r="O119" s="36" t="s">
        <v>96</v>
      </c>
      <c r="P119" s="39"/>
      <c r="Q119" s="39"/>
      <c r="R119" s="39"/>
      <c r="S119" s="36"/>
      <c r="T119" s="36" t="s">
        <v>50</v>
      </c>
      <c r="U119" s="40">
        <v>45898</v>
      </c>
      <c r="V119" s="39" t="s">
        <v>843</v>
      </c>
      <c r="W119" s="39" t="s">
        <v>52</v>
      </c>
      <c r="X119" s="39" t="s">
        <v>96</v>
      </c>
      <c r="Y119" s="39" t="s">
        <v>217</v>
      </c>
      <c r="Z119" s="39" t="s">
        <v>96</v>
      </c>
      <c r="AA119" s="41">
        <v>46199</v>
      </c>
      <c r="AB119" s="39" t="s">
        <v>56</v>
      </c>
      <c r="AC119" s="39" t="s">
        <v>68</v>
      </c>
      <c r="AD119" s="36" t="s">
        <v>82</v>
      </c>
      <c r="AE119" s="39" t="s">
        <v>59</v>
      </c>
      <c r="AF119" s="39" t="s">
        <v>60</v>
      </c>
      <c r="AG119" s="14"/>
      <c r="AH119" s="14"/>
    </row>
    <row r="120" spans="1:34" ht="15" customHeight="1" x14ac:dyDescent="0.2">
      <c r="A120" s="36" t="s">
        <v>839</v>
      </c>
      <c r="B120" s="36" t="s">
        <v>37</v>
      </c>
      <c r="C120" s="36" t="s">
        <v>38</v>
      </c>
      <c r="D120" s="36" t="s">
        <v>39</v>
      </c>
      <c r="E120" s="36" t="s">
        <v>844</v>
      </c>
      <c r="F120" s="37" t="s">
        <v>845</v>
      </c>
      <c r="G120" s="36">
        <f>VLOOKUP(F120,'[1]Saldos de Cartera'!$E$8:$S$343,15,0)</f>
        <v>23497.75</v>
      </c>
      <c r="H120" s="36" t="s">
        <v>42</v>
      </c>
      <c r="I120" s="38">
        <v>45596</v>
      </c>
      <c r="J120" s="44" t="s">
        <v>2371</v>
      </c>
      <c r="K120" s="36" t="s">
        <v>43</v>
      </c>
      <c r="L120" s="36" t="s">
        <v>846</v>
      </c>
      <c r="M120" s="36" t="s">
        <v>45</v>
      </c>
      <c r="N120" s="36" t="s">
        <v>46</v>
      </c>
      <c r="O120" s="36" t="s">
        <v>47</v>
      </c>
      <c r="P120" s="41">
        <v>45595</v>
      </c>
      <c r="Q120" s="36" t="s">
        <v>847</v>
      </c>
      <c r="R120" s="39">
        <v>854350</v>
      </c>
      <c r="S120" s="39" t="s">
        <v>49</v>
      </c>
      <c r="T120" s="36" t="s">
        <v>50</v>
      </c>
      <c r="U120" s="42">
        <v>45674</v>
      </c>
      <c r="V120" s="36" t="s">
        <v>849</v>
      </c>
      <c r="W120" s="39" t="s">
        <v>88</v>
      </c>
      <c r="X120" s="36" t="s">
        <v>850</v>
      </c>
      <c r="Y120" s="39" t="s">
        <v>848</v>
      </c>
      <c r="Z120" s="36" t="s">
        <v>55</v>
      </c>
      <c r="AA120" s="41">
        <v>46199</v>
      </c>
      <c r="AB120" s="39" t="s">
        <v>56</v>
      </c>
      <c r="AC120" s="36" t="s">
        <v>90</v>
      </c>
      <c r="AD120" s="36" t="s">
        <v>69</v>
      </c>
      <c r="AE120" s="39" t="s">
        <v>91</v>
      </c>
      <c r="AF120" s="39" t="s">
        <v>60</v>
      </c>
      <c r="AG120" s="14"/>
      <c r="AH120" s="14"/>
    </row>
    <row r="121" spans="1:34" ht="15" customHeight="1" x14ac:dyDescent="0.2">
      <c r="A121" s="36" t="s">
        <v>839</v>
      </c>
      <c r="B121" s="36" t="s">
        <v>37</v>
      </c>
      <c r="C121" s="36" t="s">
        <v>38</v>
      </c>
      <c r="D121" s="36" t="s">
        <v>39</v>
      </c>
      <c r="E121" s="36" t="s">
        <v>851</v>
      </c>
      <c r="F121" s="37" t="s">
        <v>852</v>
      </c>
      <c r="G121" s="36">
        <f>VLOOKUP(F121,'[1]Saldos de Cartera'!$E$8:$S$343,15,0)</f>
        <v>22909.05</v>
      </c>
      <c r="H121" s="36" t="s">
        <v>42</v>
      </c>
      <c r="I121" s="38">
        <v>45475</v>
      </c>
      <c r="J121" s="44" t="s">
        <v>2372</v>
      </c>
      <c r="K121" s="36" t="s">
        <v>43</v>
      </c>
      <c r="L121" s="36" t="s">
        <v>853</v>
      </c>
      <c r="M121" s="36" t="s">
        <v>45</v>
      </c>
      <c r="N121" s="36" t="s">
        <v>442</v>
      </c>
      <c r="O121" s="36" t="s">
        <v>47</v>
      </c>
      <c r="P121" s="42">
        <v>45433</v>
      </c>
      <c r="Q121" s="36" t="s">
        <v>854</v>
      </c>
      <c r="R121" s="39">
        <v>309137</v>
      </c>
      <c r="S121" s="39" t="s">
        <v>49</v>
      </c>
      <c r="T121" s="36" t="s">
        <v>50</v>
      </c>
      <c r="U121" s="41">
        <v>45575</v>
      </c>
      <c r="V121" s="36" t="s">
        <v>855</v>
      </c>
      <c r="W121" s="39" t="s">
        <v>88</v>
      </c>
      <c r="X121" s="36" t="s">
        <v>856</v>
      </c>
      <c r="Y121" s="39" t="s">
        <v>857</v>
      </c>
      <c r="Z121" s="36" t="s">
        <v>122</v>
      </c>
      <c r="AA121" s="41">
        <v>46199</v>
      </c>
      <c r="AB121" s="39" t="s">
        <v>56</v>
      </c>
      <c r="AC121" s="36" t="s">
        <v>90</v>
      </c>
      <c r="AD121" s="36" t="s">
        <v>69</v>
      </c>
      <c r="AE121" s="39" t="s">
        <v>91</v>
      </c>
      <c r="AF121" s="39" t="s">
        <v>60</v>
      </c>
      <c r="AG121" s="14"/>
      <c r="AH121" s="14"/>
    </row>
    <row r="122" spans="1:34" ht="15" customHeight="1" x14ac:dyDescent="0.2">
      <c r="A122" s="36" t="s">
        <v>839</v>
      </c>
      <c r="B122" s="36" t="s">
        <v>37</v>
      </c>
      <c r="C122" s="36" t="s">
        <v>38</v>
      </c>
      <c r="D122" s="36" t="s">
        <v>39</v>
      </c>
      <c r="E122" s="36" t="s">
        <v>858</v>
      </c>
      <c r="F122" s="37" t="s">
        <v>859</v>
      </c>
      <c r="G122" s="36">
        <f>VLOOKUP(F122,'[1]Saldos de Cartera'!$E$8:$S$343,15,0)</f>
        <v>30000</v>
      </c>
      <c r="H122" s="36" t="s">
        <v>42</v>
      </c>
      <c r="I122" s="38">
        <v>45063</v>
      </c>
      <c r="J122" s="44" t="s">
        <v>2373</v>
      </c>
      <c r="K122" s="36" t="s">
        <v>72</v>
      </c>
      <c r="L122" s="36" t="s">
        <v>860</v>
      </c>
      <c r="M122" s="36" t="s">
        <v>45</v>
      </c>
      <c r="N122" s="36" t="s">
        <v>64</v>
      </c>
      <c r="O122" s="36" t="s">
        <v>96</v>
      </c>
      <c r="P122" s="36"/>
      <c r="Q122" s="36"/>
      <c r="R122" s="39"/>
      <c r="S122" s="36"/>
      <c r="T122" s="36" t="s">
        <v>50</v>
      </c>
      <c r="U122" s="42">
        <v>45055</v>
      </c>
      <c r="V122" s="36" t="s">
        <v>861</v>
      </c>
      <c r="W122" s="39" t="s">
        <v>52</v>
      </c>
      <c r="X122" s="39" t="s">
        <v>96</v>
      </c>
      <c r="Y122" s="39" t="s">
        <v>862</v>
      </c>
      <c r="Z122" s="36" t="s">
        <v>96</v>
      </c>
      <c r="AA122" s="41">
        <v>46199</v>
      </c>
      <c r="AB122" s="39" t="s">
        <v>56</v>
      </c>
      <c r="AC122" s="36" t="s">
        <v>68</v>
      </c>
      <c r="AD122" s="36" t="s">
        <v>82</v>
      </c>
      <c r="AE122" s="39" t="s">
        <v>59</v>
      </c>
      <c r="AF122" s="39" t="s">
        <v>60</v>
      </c>
      <c r="AG122" s="14"/>
      <c r="AH122" s="14"/>
    </row>
    <row r="123" spans="1:34" ht="15" customHeight="1" x14ac:dyDescent="0.2">
      <c r="A123" s="36" t="s">
        <v>839</v>
      </c>
      <c r="B123" s="36" t="s">
        <v>37</v>
      </c>
      <c r="C123" s="36" t="s">
        <v>38</v>
      </c>
      <c r="D123" s="36" t="s">
        <v>39</v>
      </c>
      <c r="E123" s="36" t="s">
        <v>863</v>
      </c>
      <c r="F123" s="37" t="s">
        <v>864</v>
      </c>
      <c r="G123" s="36">
        <f>VLOOKUP(F123,'[1]Saldos de Cartera'!$E$8:$S$343,15,0)</f>
        <v>43422.51</v>
      </c>
      <c r="H123" s="36" t="s">
        <v>42</v>
      </c>
      <c r="I123" s="38">
        <v>45960</v>
      </c>
      <c r="J123" s="44" t="s">
        <v>2374</v>
      </c>
      <c r="K123" s="36" t="s">
        <v>43</v>
      </c>
      <c r="L123" s="36" t="s">
        <v>865</v>
      </c>
      <c r="M123" s="36" t="s">
        <v>45</v>
      </c>
      <c r="N123" s="36" t="s">
        <v>46</v>
      </c>
      <c r="O123" s="36" t="s">
        <v>47</v>
      </c>
      <c r="P123" s="43">
        <v>45953</v>
      </c>
      <c r="Q123" s="39" t="s">
        <v>866</v>
      </c>
      <c r="R123" s="39">
        <v>375955</v>
      </c>
      <c r="S123" s="39" t="s">
        <v>49</v>
      </c>
      <c r="T123" s="36" t="s">
        <v>50</v>
      </c>
      <c r="U123" s="43">
        <v>45985</v>
      </c>
      <c r="V123" s="39" t="s">
        <v>867</v>
      </c>
      <c r="W123" s="39" t="s">
        <v>88</v>
      </c>
      <c r="X123" s="39" t="s">
        <v>868</v>
      </c>
      <c r="Y123" s="39" t="s">
        <v>869</v>
      </c>
      <c r="Z123" s="36" t="s">
        <v>55</v>
      </c>
      <c r="AA123" s="43">
        <v>46199</v>
      </c>
      <c r="AB123" s="39" t="s">
        <v>56</v>
      </c>
      <c r="AC123" s="39" t="s">
        <v>68</v>
      </c>
      <c r="AD123" s="39" t="s">
        <v>69</v>
      </c>
      <c r="AE123" s="39" t="s">
        <v>59</v>
      </c>
      <c r="AF123" s="39" t="s">
        <v>60</v>
      </c>
      <c r="AG123" s="14"/>
      <c r="AH123" s="14"/>
    </row>
    <row r="124" spans="1:34" ht="15" customHeight="1" x14ac:dyDescent="0.2">
      <c r="A124" s="36" t="s">
        <v>839</v>
      </c>
      <c r="B124" s="36" t="s">
        <v>37</v>
      </c>
      <c r="C124" s="36" t="s">
        <v>38</v>
      </c>
      <c r="D124" s="36" t="s">
        <v>39</v>
      </c>
      <c r="E124" s="36" t="s">
        <v>870</v>
      </c>
      <c r="F124" s="37" t="s">
        <v>871</v>
      </c>
      <c r="G124" s="36">
        <f>VLOOKUP(F124,'[1]Saldos de Cartera'!$E$8:$S$343,15,0)</f>
        <v>8770.9699999999993</v>
      </c>
      <c r="H124" s="36" t="s">
        <v>42</v>
      </c>
      <c r="I124" s="38">
        <v>45133</v>
      </c>
      <c r="J124" s="44" t="s">
        <v>2375</v>
      </c>
      <c r="K124" s="36" t="s">
        <v>43</v>
      </c>
      <c r="L124" s="36" t="s">
        <v>872</v>
      </c>
      <c r="M124" s="36" t="s">
        <v>873</v>
      </c>
      <c r="N124" s="36" t="s">
        <v>874</v>
      </c>
      <c r="O124" s="36" t="s">
        <v>47</v>
      </c>
      <c r="P124" s="42">
        <v>45131</v>
      </c>
      <c r="Q124" s="36" t="s">
        <v>875</v>
      </c>
      <c r="R124" s="39"/>
      <c r="S124" s="39" t="s">
        <v>49</v>
      </c>
      <c r="T124" s="36" t="s">
        <v>50</v>
      </c>
      <c r="U124" s="42">
        <v>45344</v>
      </c>
      <c r="V124" s="36" t="s">
        <v>876</v>
      </c>
      <c r="W124" s="39" t="s">
        <v>52</v>
      </c>
      <c r="X124" s="36" t="s">
        <v>877</v>
      </c>
      <c r="Y124" s="39" t="s">
        <v>878</v>
      </c>
      <c r="Z124" s="36" t="s">
        <v>80</v>
      </c>
      <c r="AA124" s="41">
        <v>46199</v>
      </c>
      <c r="AB124" s="39" t="s">
        <v>56</v>
      </c>
      <c r="AC124" s="36" t="s">
        <v>90</v>
      </c>
      <c r="AD124" s="36" t="s">
        <v>69</v>
      </c>
      <c r="AE124" s="39" t="s">
        <v>91</v>
      </c>
      <c r="AF124" s="39" t="s">
        <v>99</v>
      </c>
      <c r="AG124" s="14"/>
      <c r="AH124" s="14"/>
    </row>
    <row r="125" spans="1:34" ht="15" customHeight="1" x14ac:dyDescent="0.2">
      <c r="A125" s="36" t="s">
        <v>839</v>
      </c>
      <c r="B125" s="36" t="s">
        <v>37</v>
      </c>
      <c r="C125" s="36" t="s">
        <v>38</v>
      </c>
      <c r="D125" s="36" t="s">
        <v>39</v>
      </c>
      <c r="E125" s="36" t="s">
        <v>879</v>
      </c>
      <c r="F125" s="37" t="s">
        <v>880</v>
      </c>
      <c r="G125" s="36">
        <f>VLOOKUP(F125,'[1]Saldos de Cartera'!$E$8:$S$343,15,0)</f>
        <v>234991.45</v>
      </c>
      <c r="H125" s="36" t="s">
        <v>42</v>
      </c>
      <c r="I125" s="38">
        <v>45131</v>
      </c>
      <c r="J125" s="44" t="s">
        <v>2376</v>
      </c>
      <c r="K125" s="36" t="s">
        <v>72</v>
      </c>
      <c r="L125" s="36" t="s">
        <v>881</v>
      </c>
      <c r="M125" s="36" t="s">
        <v>45</v>
      </c>
      <c r="N125" s="36" t="s">
        <v>882</v>
      </c>
      <c r="O125" s="36" t="s">
        <v>96</v>
      </c>
      <c r="P125" s="36"/>
      <c r="Q125" s="36"/>
      <c r="R125" s="39"/>
      <c r="S125" s="36"/>
      <c r="T125" s="36" t="s">
        <v>50</v>
      </c>
      <c r="U125" s="42">
        <v>45128</v>
      </c>
      <c r="V125" s="36" t="s">
        <v>883</v>
      </c>
      <c r="W125" s="39" t="s">
        <v>52</v>
      </c>
      <c r="X125" s="39" t="s">
        <v>96</v>
      </c>
      <c r="Y125" s="39" t="s">
        <v>884</v>
      </c>
      <c r="Z125" s="36" t="s">
        <v>96</v>
      </c>
      <c r="AA125" s="41">
        <v>46199</v>
      </c>
      <c r="AB125" s="39" t="s">
        <v>56</v>
      </c>
      <c r="AC125" s="36" t="s">
        <v>885</v>
      </c>
      <c r="AD125" s="36" t="s">
        <v>82</v>
      </c>
      <c r="AE125" s="39" t="s">
        <v>59</v>
      </c>
      <c r="AF125" s="39" t="s">
        <v>60</v>
      </c>
      <c r="AG125" s="14"/>
      <c r="AH125" s="14"/>
    </row>
    <row r="126" spans="1:34" ht="15" customHeight="1" x14ac:dyDescent="0.2">
      <c r="A126" s="36" t="s">
        <v>839</v>
      </c>
      <c r="B126" s="36" t="s">
        <v>37</v>
      </c>
      <c r="C126" s="36" t="s">
        <v>38</v>
      </c>
      <c r="D126" s="36" t="s">
        <v>39</v>
      </c>
      <c r="E126" s="36" t="s">
        <v>886</v>
      </c>
      <c r="F126" s="37" t="s">
        <v>887</v>
      </c>
      <c r="G126" s="36">
        <f>VLOOKUP(F126,'[1]Saldos de Cartera'!$E$8:$S$343,15,0)</f>
        <v>81939.070000000007</v>
      </c>
      <c r="H126" s="36" t="s">
        <v>42</v>
      </c>
      <c r="I126" s="38">
        <v>45063</v>
      </c>
      <c r="J126" s="44" t="s">
        <v>2377</v>
      </c>
      <c r="K126" s="36" t="s">
        <v>72</v>
      </c>
      <c r="L126" s="36" t="s">
        <v>888</v>
      </c>
      <c r="M126" s="36" t="s">
        <v>45</v>
      </c>
      <c r="N126" s="36" t="s">
        <v>442</v>
      </c>
      <c r="O126" s="36" t="s">
        <v>96</v>
      </c>
      <c r="P126" s="36"/>
      <c r="Q126" s="36"/>
      <c r="R126" s="39"/>
      <c r="S126" s="36"/>
      <c r="T126" s="36" t="s">
        <v>50</v>
      </c>
      <c r="U126" s="42">
        <v>45055</v>
      </c>
      <c r="V126" s="36" t="s">
        <v>889</v>
      </c>
      <c r="W126" s="39" t="s">
        <v>52</v>
      </c>
      <c r="X126" s="39" t="s">
        <v>96</v>
      </c>
      <c r="Y126" s="39" t="s">
        <v>423</v>
      </c>
      <c r="Z126" s="36" t="s">
        <v>96</v>
      </c>
      <c r="AA126" s="41">
        <v>46199</v>
      </c>
      <c r="AB126" s="39" t="s">
        <v>56</v>
      </c>
      <c r="AC126" s="36" t="s">
        <v>68</v>
      </c>
      <c r="AD126" s="36" t="s">
        <v>69</v>
      </c>
      <c r="AE126" s="39" t="s">
        <v>59</v>
      </c>
      <c r="AF126" s="39" t="s">
        <v>60</v>
      </c>
      <c r="AG126" s="14"/>
      <c r="AH126" s="14"/>
    </row>
    <row r="127" spans="1:34" ht="15" customHeight="1" x14ac:dyDescent="0.2">
      <c r="A127" s="36" t="s">
        <v>839</v>
      </c>
      <c r="B127" s="36" t="s">
        <v>37</v>
      </c>
      <c r="C127" s="36" t="s">
        <v>38</v>
      </c>
      <c r="D127" s="36" t="s">
        <v>39</v>
      </c>
      <c r="E127" s="36" t="s">
        <v>890</v>
      </c>
      <c r="F127" s="37" t="s">
        <v>891</v>
      </c>
      <c r="G127" s="36">
        <f>VLOOKUP(F127,'[1]Saldos de Cartera'!$E$8:$S$343,15,0)</f>
        <v>10948.46</v>
      </c>
      <c r="H127" s="36" t="s">
        <v>42</v>
      </c>
      <c r="I127" s="38">
        <v>45075</v>
      </c>
      <c r="J127" s="44" t="s">
        <v>2378</v>
      </c>
      <c r="K127" s="36" t="s">
        <v>43</v>
      </c>
      <c r="L127" s="36" t="s">
        <v>892</v>
      </c>
      <c r="M127" s="36" t="s">
        <v>873</v>
      </c>
      <c r="N127" s="36" t="s">
        <v>893</v>
      </c>
      <c r="O127" s="36" t="s">
        <v>47</v>
      </c>
      <c r="P127" s="42">
        <v>45071</v>
      </c>
      <c r="Q127" s="36" t="s">
        <v>894</v>
      </c>
      <c r="R127" s="39">
        <v>894618</v>
      </c>
      <c r="S127" s="39" t="s">
        <v>49</v>
      </c>
      <c r="T127" s="36" t="s">
        <v>50</v>
      </c>
      <c r="U127" s="42">
        <v>45344</v>
      </c>
      <c r="V127" s="36" t="s">
        <v>895</v>
      </c>
      <c r="W127" s="39" t="s">
        <v>52</v>
      </c>
      <c r="X127" s="36" t="s">
        <v>896</v>
      </c>
      <c r="Y127" s="39" t="s">
        <v>897</v>
      </c>
      <c r="Z127" s="36" t="s">
        <v>80</v>
      </c>
      <c r="AA127" s="41">
        <v>46199</v>
      </c>
      <c r="AB127" s="39" t="s">
        <v>56</v>
      </c>
      <c r="AC127" s="36" t="s">
        <v>90</v>
      </c>
      <c r="AD127" s="36" t="s">
        <v>69</v>
      </c>
      <c r="AE127" s="39" t="s">
        <v>91</v>
      </c>
      <c r="AF127" s="39" t="s">
        <v>99</v>
      </c>
      <c r="AG127" s="14"/>
      <c r="AH127" s="14"/>
    </row>
    <row r="128" spans="1:34" ht="15" customHeight="1" x14ac:dyDescent="0.2">
      <c r="A128" s="36" t="s">
        <v>839</v>
      </c>
      <c r="B128" s="36" t="s">
        <v>37</v>
      </c>
      <c r="C128" s="36" t="s">
        <v>38</v>
      </c>
      <c r="D128" s="36" t="s">
        <v>39</v>
      </c>
      <c r="E128" s="36" t="s">
        <v>898</v>
      </c>
      <c r="F128" s="37" t="s">
        <v>899</v>
      </c>
      <c r="G128" s="36">
        <f>VLOOKUP(F128,'[1]Saldos de Cartera'!$E$8:$S$343,15,0)</f>
        <v>35420.300000000003</v>
      </c>
      <c r="H128" s="36" t="s">
        <v>42</v>
      </c>
      <c r="I128" s="38">
        <v>46020</v>
      </c>
      <c r="J128" s="44" t="s">
        <v>900</v>
      </c>
      <c r="K128" s="36" t="s">
        <v>43</v>
      </c>
      <c r="L128" s="36" t="s">
        <v>901</v>
      </c>
      <c r="M128" s="36" t="s">
        <v>45</v>
      </c>
      <c r="N128" s="36" t="s">
        <v>902</v>
      </c>
      <c r="O128" s="36" t="s">
        <v>96</v>
      </c>
      <c r="P128" s="39"/>
      <c r="Q128" s="39"/>
      <c r="R128" s="39"/>
      <c r="S128" s="39"/>
      <c r="T128" s="39" t="s">
        <v>903</v>
      </c>
      <c r="U128" s="43">
        <v>46020</v>
      </c>
      <c r="V128" s="39" t="s">
        <v>904</v>
      </c>
      <c r="W128" s="39" t="s">
        <v>88</v>
      </c>
      <c r="X128" s="39" t="s">
        <v>905</v>
      </c>
      <c r="Y128" s="39" t="s">
        <v>423</v>
      </c>
      <c r="Z128" s="36" t="s">
        <v>122</v>
      </c>
      <c r="AA128" s="43">
        <v>46188</v>
      </c>
      <c r="AB128" s="39" t="s">
        <v>56</v>
      </c>
      <c r="AC128" s="36" t="s">
        <v>68</v>
      </c>
      <c r="AD128" s="39" t="s">
        <v>69</v>
      </c>
      <c r="AE128" s="39" t="s">
        <v>59</v>
      </c>
      <c r="AF128" s="39" t="s">
        <v>60</v>
      </c>
      <c r="AG128" s="14"/>
      <c r="AH128" s="14"/>
    </row>
    <row r="129" spans="1:34" ht="15" customHeight="1" x14ac:dyDescent="0.2">
      <c r="A129" s="36" t="s">
        <v>839</v>
      </c>
      <c r="B129" s="36" t="s">
        <v>37</v>
      </c>
      <c r="C129" s="36" t="s">
        <v>38</v>
      </c>
      <c r="D129" s="36" t="s">
        <v>39</v>
      </c>
      <c r="E129" s="36" t="s">
        <v>906</v>
      </c>
      <c r="F129" s="37" t="s">
        <v>907</v>
      </c>
      <c r="G129" s="36">
        <f>VLOOKUP(F129,'[1]Saldos de Cartera'!$E$8:$S$343,15,0)</f>
        <v>66853.149999999994</v>
      </c>
      <c r="H129" s="36" t="s">
        <v>42</v>
      </c>
      <c r="I129" s="38">
        <v>45960</v>
      </c>
      <c r="J129" s="44" t="s">
        <v>324</v>
      </c>
      <c r="K129" s="36" t="s">
        <v>43</v>
      </c>
      <c r="L129" s="36" t="s">
        <v>908</v>
      </c>
      <c r="M129" s="36" t="s">
        <v>45</v>
      </c>
      <c r="N129" s="36" t="s">
        <v>909</v>
      </c>
      <c r="O129" s="36" t="s">
        <v>96</v>
      </c>
      <c r="P129" s="43"/>
      <c r="Q129" s="39"/>
      <c r="R129" s="39"/>
      <c r="S129" s="39"/>
      <c r="T129" s="36" t="s">
        <v>327</v>
      </c>
      <c r="U129" s="43">
        <v>45960</v>
      </c>
      <c r="V129" s="39" t="s">
        <v>910</v>
      </c>
      <c r="W129" s="39" t="s">
        <v>52</v>
      </c>
      <c r="X129" s="39" t="s">
        <v>911</v>
      </c>
      <c r="Y129" s="39" t="s">
        <v>912</v>
      </c>
      <c r="Z129" s="36" t="s">
        <v>55</v>
      </c>
      <c r="AA129" s="43">
        <v>46188</v>
      </c>
      <c r="AB129" s="39" t="s">
        <v>56</v>
      </c>
      <c r="AC129" s="36" t="s">
        <v>68</v>
      </c>
      <c r="AD129" s="39" t="s">
        <v>69</v>
      </c>
      <c r="AE129" s="39" t="s">
        <v>59</v>
      </c>
      <c r="AF129" s="39" t="s">
        <v>60</v>
      </c>
      <c r="AG129" s="14"/>
      <c r="AH129" s="14"/>
    </row>
    <row r="130" spans="1:34" ht="15" customHeight="1" x14ac:dyDescent="0.2">
      <c r="A130" s="36" t="s">
        <v>839</v>
      </c>
      <c r="B130" s="36" t="s">
        <v>37</v>
      </c>
      <c r="C130" s="36" t="s">
        <v>38</v>
      </c>
      <c r="D130" s="36" t="s">
        <v>39</v>
      </c>
      <c r="E130" s="36" t="s">
        <v>913</v>
      </c>
      <c r="F130" s="37" t="s">
        <v>914</v>
      </c>
      <c r="G130" s="36">
        <f>VLOOKUP(F130,'[1]Saldos de Cartera'!$E$8:$S$343,15,0)</f>
        <v>23097.08</v>
      </c>
      <c r="H130" s="36" t="s">
        <v>42</v>
      </c>
      <c r="I130" s="38">
        <v>45664</v>
      </c>
      <c r="J130" s="44" t="s">
        <v>2379</v>
      </c>
      <c r="K130" s="36" t="s">
        <v>43</v>
      </c>
      <c r="L130" s="36" t="s">
        <v>915</v>
      </c>
      <c r="M130" s="36" t="s">
        <v>45</v>
      </c>
      <c r="N130" s="36" t="s">
        <v>46</v>
      </c>
      <c r="O130" s="36" t="s">
        <v>47</v>
      </c>
      <c r="P130" s="42">
        <v>45663</v>
      </c>
      <c r="Q130" s="36" t="s">
        <v>916</v>
      </c>
      <c r="R130" s="39">
        <v>961266</v>
      </c>
      <c r="S130" s="39" t="s">
        <v>49</v>
      </c>
      <c r="T130" s="36" t="s">
        <v>50</v>
      </c>
      <c r="U130" s="42">
        <v>45701</v>
      </c>
      <c r="V130" s="36" t="s">
        <v>917</v>
      </c>
      <c r="W130" s="39" t="s">
        <v>88</v>
      </c>
      <c r="X130" s="36" t="s">
        <v>918</v>
      </c>
      <c r="Y130" s="39" t="s">
        <v>919</v>
      </c>
      <c r="Z130" s="36" t="s">
        <v>55</v>
      </c>
      <c r="AA130" s="41">
        <v>46199</v>
      </c>
      <c r="AB130" s="39" t="s">
        <v>56</v>
      </c>
      <c r="AC130" s="36" t="s">
        <v>114</v>
      </c>
      <c r="AD130" s="36" t="s">
        <v>69</v>
      </c>
      <c r="AE130" s="39" t="s">
        <v>59</v>
      </c>
      <c r="AF130" s="39" t="s">
        <v>60</v>
      </c>
      <c r="AG130" s="14"/>
      <c r="AH130" s="14"/>
    </row>
    <row r="131" spans="1:34" ht="15" customHeight="1" x14ac:dyDescent="0.2">
      <c r="A131" s="36" t="s">
        <v>839</v>
      </c>
      <c r="B131" s="36" t="s">
        <v>37</v>
      </c>
      <c r="C131" s="36" t="s">
        <v>38</v>
      </c>
      <c r="D131" s="36" t="s">
        <v>39</v>
      </c>
      <c r="E131" s="36" t="s">
        <v>920</v>
      </c>
      <c r="F131" s="37" t="s">
        <v>921</v>
      </c>
      <c r="G131" s="36">
        <f>VLOOKUP(F131,'[1]Saldos de Cartera'!$E$8:$S$343,15,0)</f>
        <v>41813.370000000003</v>
      </c>
      <c r="H131" s="36" t="s">
        <v>42</v>
      </c>
      <c r="I131" s="38">
        <v>45950</v>
      </c>
      <c r="J131" s="44" t="s">
        <v>2380</v>
      </c>
      <c r="K131" s="36" t="s">
        <v>43</v>
      </c>
      <c r="L131" s="36" t="s">
        <v>922</v>
      </c>
      <c r="M131" s="36" t="s">
        <v>45</v>
      </c>
      <c r="N131" s="36" t="s">
        <v>46</v>
      </c>
      <c r="O131" s="36" t="s">
        <v>47</v>
      </c>
      <c r="P131" s="43">
        <v>45946</v>
      </c>
      <c r="Q131" s="39" t="s">
        <v>923</v>
      </c>
      <c r="R131" s="39">
        <v>390763</v>
      </c>
      <c r="S131" s="39" t="s">
        <v>49</v>
      </c>
      <c r="T131" s="36" t="s">
        <v>50</v>
      </c>
      <c r="U131" s="43">
        <v>46008</v>
      </c>
      <c r="V131" s="39" t="s">
        <v>924</v>
      </c>
      <c r="W131" s="39" t="s">
        <v>88</v>
      </c>
      <c r="X131" s="39" t="s">
        <v>925</v>
      </c>
      <c r="Y131" s="39" t="s">
        <v>926</v>
      </c>
      <c r="Z131" s="36" t="s">
        <v>55</v>
      </c>
      <c r="AA131" s="43">
        <v>46199</v>
      </c>
      <c r="AB131" s="39" t="s">
        <v>56</v>
      </c>
      <c r="AC131" s="39" t="s">
        <v>68</v>
      </c>
      <c r="AD131" s="39" t="s">
        <v>69</v>
      </c>
      <c r="AE131" s="39" t="s">
        <v>59</v>
      </c>
      <c r="AF131" s="39" t="s">
        <v>60</v>
      </c>
      <c r="AG131" s="14"/>
      <c r="AH131" s="14"/>
    </row>
    <row r="132" spans="1:34" ht="15" customHeight="1" x14ac:dyDescent="0.2">
      <c r="A132" s="36" t="s">
        <v>839</v>
      </c>
      <c r="B132" s="36" t="s">
        <v>37</v>
      </c>
      <c r="C132" s="36" t="s">
        <v>38</v>
      </c>
      <c r="D132" s="36" t="s">
        <v>39</v>
      </c>
      <c r="E132" s="36" t="s">
        <v>927</v>
      </c>
      <c r="F132" s="37" t="s">
        <v>928</v>
      </c>
      <c r="G132" s="36">
        <f>VLOOKUP(F132,'[1]Saldos de Cartera'!$E$8:$S$343,15,0)</f>
        <v>38647.980000000003</v>
      </c>
      <c r="H132" s="36" t="s">
        <v>42</v>
      </c>
      <c r="I132" s="38">
        <v>45364</v>
      </c>
      <c r="J132" s="44" t="s">
        <v>2381</v>
      </c>
      <c r="K132" s="36" t="s">
        <v>72</v>
      </c>
      <c r="L132" s="36" t="s">
        <v>929</v>
      </c>
      <c r="M132" s="36" t="s">
        <v>45</v>
      </c>
      <c r="N132" s="36" t="s">
        <v>201</v>
      </c>
      <c r="O132" s="36" t="s">
        <v>47</v>
      </c>
      <c r="P132" s="42">
        <v>45363</v>
      </c>
      <c r="Q132" s="36" t="s">
        <v>930</v>
      </c>
      <c r="R132" s="39">
        <v>943881</v>
      </c>
      <c r="S132" s="39" t="s">
        <v>49</v>
      </c>
      <c r="T132" s="36" t="s">
        <v>50</v>
      </c>
      <c r="U132" s="42">
        <v>45569</v>
      </c>
      <c r="V132" s="36" t="s">
        <v>931</v>
      </c>
      <c r="W132" s="39" t="s">
        <v>52</v>
      </c>
      <c r="X132" s="36" t="s">
        <v>932</v>
      </c>
      <c r="Y132" s="39" t="s">
        <v>933</v>
      </c>
      <c r="Z132" s="36" t="s">
        <v>80</v>
      </c>
      <c r="AA132" s="41">
        <v>46199</v>
      </c>
      <c r="AB132" s="39" t="s">
        <v>56</v>
      </c>
      <c r="AC132" s="36" t="s">
        <v>934</v>
      </c>
      <c r="AD132" s="36" t="s">
        <v>82</v>
      </c>
      <c r="AE132" s="39" t="s">
        <v>59</v>
      </c>
      <c r="AF132" s="39" t="s">
        <v>60</v>
      </c>
      <c r="AG132" s="14"/>
      <c r="AH132" s="14"/>
    </row>
    <row r="133" spans="1:34" ht="15" customHeight="1" x14ac:dyDescent="0.2">
      <c r="A133" s="36" t="s">
        <v>839</v>
      </c>
      <c r="B133" s="36" t="s">
        <v>37</v>
      </c>
      <c r="C133" s="36" t="s">
        <v>38</v>
      </c>
      <c r="D133" s="36" t="s">
        <v>39</v>
      </c>
      <c r="E133" s="36" t="s">
        <v>935</v>
      </c>
      <c r="F133" s="37" t="s">
        <v>936</v>
      </c>
      <c r="G133" s="36">
        <f>VLOOKUP(F133,'[1]Saldos de Cartera'!$E$8:$S$343,15,0)</f>
        <v>23471.58</v>
      </c>
      <c r="H133" s="36" t="s">
        <v>42</v>
      </c>
      <c r="I133" s="38">
        <v>45738</v>
      </c>
      <c r="J133" s="44" t="s">
        <v>2382</v>
      </c>
      <c r="K133" s="36" t="s">
        <v>43</v>
      </c>
      <c r="L133" s="36" t="s">
        <v>937</v>
      </c>
      <c r="M133" s="36" t="s">
        <v>45</v>
      </c>
      <c r="N133" s="36" t="s">
        <v>118</v>
      </c>
      <c r="O133" s="36" t="s">
        <v>47</v>
      </c>
      <c r="P133" s="42">
        <v>45737</v>
      </c>
      <c r="Q133" s="36" t="s">
        <v>938</v>
      </c>
      <c r="R133" s="39">
        <v>536380</v>
      </c>
      <c r="S133" s="39" t="s">
        <v>49</v>
      </c>
      <c r="T133" s="36" t="s">
        <v>50</v>
      </c>
      <c r="U133" s="42">
        <v>45835</v>
      </c>
      <c r="V133" s="36" t="s">
        <v>939</v>
      </c>
      <c r="W133" s="39" t="s">
        <v>88</v>
      </c>
      <c r="X133" s="36" t="s">
        <v>940</v>
      </c>
      <c r="Y133" s="39" t="s">
        <v>919</v>
      </c>
      <c r="Z133" s="36" t="s">
        <v>55</v>
      </c>
      <c r="AA133" s="41">
        <v>46199</v>
      </c>
      <c r="AB133" s="39" t="s">
        <v>56</v>
      </c>
      <c r="AC133" s="36" t="s">
        <v>463</v>
      </c>
      <c r="AD133" s="36" t="s">
        <v>69</v>
      </c>
      <c r="AE133" s="39" t="s">
        <v>59</v>
      </c>
      <c r="AF133" s="39" t="s">
        <v>60</v>
      </c>
      <c r="AG133" s="14"/>
      <c r="AH133" s="14"/>
    </row>
    <row r="134" spans="1:34" ht="15" customHeight="1" x14ac:dyDescent="0.2">
      <c r="A134" s="36" t="s">
        <v>839</v>
      </c>
      <c r="B134" s="36" t="s">
        <v>37</v>
      </c>
      <c r="C134" s="36" t="s">
        <v>38</v>
      </c>
      <c r="D134" s="36" t="s">
        <v>39</v>
      </c>
      <c r="E134" s="36" t="s">
        <v>941</v>
      </c>
      <c r="F134" s="37" t="s">
        <v>942</v>
      </c>
      <c r="G134" s="36">
        <f>VLOOKUP(F134,'[1]Saldos de Cartera'!$E$8:$S$343,15,0)</f>
        <v>21354.89</v>
      </c>
      <c r="H134" s="36" t="s">
        <v>42</v>
      </c>
      <c r="I134" s="38">
        <v>45853</v>
      </c>
      <c r="J134" s="44" t="s">
        <v>2383</v>
      </c>
      <c r="K134" s="36" t="s">
        <v>72</v>
      </c>
      <c r="L134" s="36" t="s">
        <v>943</v>
      </c>
      <c r="M134" s="36" t="s">
        <v>45</v>
      </c>
      <c r="N134" s="36" t="s">
        <v>118</v>
      </c>
      <c r="O134" s="36" t="s">
        <v>47</v>
      </c>
      <c r="P134" s="40">
        <v>45852</v>
      </c>
      <c r="Q134" s="39" t="s">
        <v>944</v>
      </c>
      <c r="R134" s="39">
        <v>580975</v>
      </c>
      <c r="S134" s="39" t="s">
        <v>49</v>
      </c>
      <c r="T134" s="36" t="s">
        <v>50</v>
      </c>
      <c r="U134" s="43">
        <v>45966</v>
      </c>
      <c r="V134" s="39" t="s">
        <v>945</v>
      </c>
      <c r="W134" s="39" t="s">
        <v>88</v>
      </c>
      <c r="X134" s="39" t="s">
        <v>946</v>
      </c>
      <c r="Y134" s="39" t="s">
        <v>947</v>
      </c>
      <c r="Z134" s="36" t="s">
        <v>80</v>
      </c>
      <c r="AA134" s="41">
        <v>46199</v>
      </c>
      <c r="AB134" s="39" t="s">
        <v>56</v>
      </c>
      <c r="AC134" s="36" t="s">
        <v>68</v>
      </c>
      <c r="AD134" s="39" t="s">
        <v>69</v>
      </c>
      <c r="AE134" s="39" t="s">
        <v>59</v>
      </c>
      <c r="AF134" s="39" t="s">
        <v>60</v>
      </c>
      <c r="AG134" s="14"/>
      <c r="AH134" s="14"/>
    </row>
    <row r="135" spans="1:34" ht="15" customHeight="1" x14ac:dyDescent="0.2">
      <c r="A135" s="36" t="s">
        <v>839</v>
      </c>
      <c r="B135" s="36" t="s">
        <v>37</v>
      </c>
      <c r="C135" s="36" t="s">
        <v>38</v>
      </c>
      <c r="D135" s="36" t="s">
        <v>39</v>
      </c>
      <c r="E135" s="36" t="s">
        <v>948</v>
      </c>
      <c r="F135" s="37" t="s">
        <v>949</v>
      </c>
      <c r="G135" s="36">
        <f>VLOOKUP(F135,'[1]Saldos de Cartera'!$E$8:$S$343,15,0)</f>
        <v>1151.08</v>
      </c>
      <c r="H135" s="36" t="s">
        <v>42</v>
      </c>
      <c r="I135" s="38">
        <v>45063</v>
      </c>
      <c r="J135" s="44" t="s">
        <v>2384</v>
      </c>
      <c r="K135" s="36" t="s">
        <v>43</v>
      </c>
      <c r="L135" s="36" t="s">
        <v>950</v>
      </c>
      <c r="M135" s="36" t="s">
        <v>74</v>
      </c>
      <c r="N135" s="36" t="s">
        <v>156</v>
      </c>
      <c r="O135" s="36" t="s">
        <v>47</v>
      </c>
      <c r="P135" s="42">
        <v>45055</v>
      </c>
      <c r="Q135" s="36" t="s">
        <v>951</v>
      </c>
      <c r="R135" s="39">
        <v>821965</v>
      </c>
      <c r="S135" s="39" t="s">
        <v>49</v>
      </c>
      <c r="T135" s="36" t="s">
        <v>50</v>
      </c>
      <c r="U135" s="42">
        <v>45265</v>
      </c>
      <c r="V135" s="36" t="s">
        <v>952</v>
      </c>
      <c r="W135" s="39" t="s">
        <v>52</v>
      </c>
      <c r="X135" s="36" t="s">
        <v>953</v>
      </c>
      <c r="Y135" s="39" t="s">
        <v>954</v>
      </c>
      <c r="Z135" s="36" t="s">
        <v>122</v>
      </c>
      <c r="AA135" s="41">
        <v>46199</v>
      </c>
      <c r="AB135" s="39" t="s">
        <v>56</v>
      </c>
      <c r="AC135" s="36" t="s">
        <v>90</v>
      </c>
      <c r="AD135" s="36" t="s">
        <v>69</v>
      </c>
      <c r="AE135" s="39" t="s">
        <v>91</v>
      </c>
      <c r="AF135" s="39" t="s">
        <v>99</v>
      </c>
      <c r="AG135" s="14"/>
      <c r="AH135" s="14"/>
    </row>
    <row r="136" spans="1:34" ht="15" customHeight="1" x14ac:dyDescent="0.2">
      <c r="A136" s="36" t="s">
        <v>839</v>
      </c>
      <c r="B136" s="36" t="s">
        <v>37</v>
      </c>
      <c r="C136" s="36" t="s">
        <v>38</v>
      </c>
      <c r="D136" s="36" t="s">
        <v>39</v>
      </c>
      <c r="E136" s="36" t="s">
        <v>955</v>
      </c>
      <c r="F136" s="37" t="s">
        <v>956</v>
      </c>
      <c r="G136" s="36">
        <f>VLOOKUP(F136,'[1]Saldos de Cartera'!$E$8:$S$343,15,0)</f>
        <v>1127.2</v>
      </c>
      <c r="H136" s="36" t="s">
        <v>42</v>
      </c>
      <c r="I136" s="38">
        <v>45213</v>
      </c>
      <c r="J136" s="44" t="s">
        <v>2385</v>
      </c>
      <c r="K136" s="36" t="s">
        <v>43</v>
      </c>
      <c r="L136" s="36" t="s">
        <v>957</v>
      </c>
      <c r="M136" s="36" t="s">
        <v>74</v>
      </c>
      <c r="N136" s="36" t="s">
        <v>75</v>
      </c>
      <c r="O136" s="36" t="s">
        <v>47</v>
      </c>
      <c r="P136" s="41">
        <v>45210</v>
      </c>
      <c r="Q136" s="36" t="s">
        <v>958</v>
      </c>
      <c r="R136" s="39">
        <v>794962</v>
      </c>
      <c r="S136" s="39" t="s">
        <v>49</v>
      </c>
      <c r="T136" s="36" t="s">
        <v>50</v>
      </c>
      <c r="U136" s="42">
        <v>45310</v>
      </c>
      <c r="V136" s="36" t="s">
        <v>959</v>
      </c>
      <c r="W136" s="39" t="s">
        <v>246</v>
      </c>
      <c r="X136" s="36" t="s">
        <v>960</v>
      </c>
      <c r="Y136" s="39" t="s">
        <v>961</v>
      </c>
      <c r="Z136" s="36" t="s">
        <v>55</v>
      </c>
      <c r="AA136" s="41">
        <v>46199</v>
      </c>
      <c r="AB136" s="39" t="s">
        <v>56</v>
      </c>
      <c r="AC136" s="36" t="s">
        <v>90</v>
      </c>
      <c r="AD136" s="36" t="s">
        <v>69</v>
      </c>
      <c r="AE136" s="39" t="s">
        <v>91</v>
      </c>
      <c r="AF136" s="39" t="s">
        <v>60</v>
      </c>
      <c r="AG136" s="14"/>
      <c r="AH136" s="14"/>
    </row>
    <row r="137" spans="1:34" ht="15" customHeight="1" x14ac:dyDescent="0.2">
      <c r="A137" s="36" t="s">
        <v>839</v>
      </c>
      <c r="B137" s="36" t="s">
        <v>37</v>
      </c>
      <c r="C137" s="36" t="s">
        <v>38</v>
      </c>
      <c r="D137" s="36" t="s">
        <v>39</v>
      </c>
      <c r="E137" s="36" t="s">
        <v>962</v>
      </c>
      <c r="F137" s="37" t="s">
        <v>963</v>
      </c>
      <c r="G137" s="36">
        <f>VLOOKUP(F137,'[1]Saldos de Cartera'!$E$8:$S$343,15,0)</f>
        <v>4818.49</v>
      </c>
      <c r="H137" s="36" t="s">
        <v>42</v>
      </c>
      <c r="I137" s="38">
        <v>45440</v>
      </c>
      <c r="J137" s="44" t="s">
        <v>2386</v>
      </c>
      <c r="K137" s="36" t="s">
        <v>43</v>
      </c>
      <c r="L137" s="36" t="s">
        <v>964</v>
      </c>
      <c r="M137" s="36" t="s">
        <v>45</v>
      </c>
      <c r="N137" s="36" t="s">
        <v>201</v>
      </c>
      <c r="O137" s="36" t="s">
        <v>47</v>
      </c>
      <c r="P137" s="42">
        <v>45439</v>
      </c>
      <c r="Q137" s="36" t="s">
        <v>965</v>
      </c>
      <c r="R137" s="39">
        <v>432593</v>
      </c>
      <c r="S137" s="39" t="s">
        <v>49</v>
      </c>
      <c r="T137" s="36" t="s">
        <v>50</v>
      </c>
      <c r="U137" s="41">
        <v>45625</v>
      </c>
      <c r="V137" s="36" t="s">
        <v>966</v>
      </c>
      <c r="W137" s="39" t="s">
        <v>52</v>
      </c>
      <c r="X137" s="36" t="s">
        <v>967</v>
      </c>
      <c r="Y137" s="39" t="s">
        <v>968</v>
      </c>
      <c r="Z137" s="36" t="s">
        <v>55</v>
      </c>
      <c r="AA137" s="41">
        <v>46199</v>
      </c>
      <c r="AB137" s="39" t="s">
        <v>56</v>
      </c>
      <c r="AC137" s="36" t="s">
        <v>969</v>
      </c>
      <c r="AD137" s="36" t="s">
        <v>69</v>
      </c>
      <c r="AE137" s="39" t="s">
        <v>91</v>
      </c>
      <c r="AF137" s="39" t="s">
        <v>99</v>
      </c>
      <c r="AG137" s="14"/>
      <c r="AH137" s="14"/>
    </row>
    <row r="138" spans="1:34" ht="15" customHeight="1" x14ac:dyDescent="0.2">
      <c r="A138" s="36" t="s">
        <v>839</v>
      </c>
      <c r="B138" s="36" t="s">
        <v>37</v>
      </c>
      <c r="C138" s="36" t="s">
        <v>38</v>
      </c>
      <c r="D138" s="36" t="s">
        <v>39</v>
      </c>
      <c r="E138" s="36" t="s">
        <v>970</v>
      </c>
      <c r="F138" s="37" t="s">
        <v>971</v>
      </c>
      <c r="G138" s="36">
        <f>VLOOKUP(F138,'[1]Saldos de Cartera'!$E$8:$S$343,15,0)</f>
        <v>22022.78</v>
      </c>
      <c r="H138" s="36" t="s">
        <v>42</v>
      </c>
      <c r="I138" s="38">
        <v>45366</v>
      </c>
      <c r="J138" s="44" t="s">
        <v>2387</v>
      </c>
      <c r="K138" s="36" t="s">
        <v>43</v>
      </c>
      <c r="L138" s="36" t="s">
        <v>972</v>
      </c>
      <c r="M138" s="36" t="s">
        <v>45</v>
      </c>
      <c r="N138" s="36" t="s">
        <v>201</v>
      </c>
      <c r="O138" s="36" t="s">
        <v>47</v>
      </c>
      <c r="P138" s="42">
        <v>45363</v>
      </c>
      <c r="Q138" s="36" t="s">
        <v>973</v>
      </c>
      <c r="R138" s="39">
        <v>262734</v>
      </c>
      <c r="S138" s="39" t="s">
        <v>49</v>
      </c>
      <c r="T138" s="36" t="s">
        <v>50</v>
      </c>
      <c r="U138" s="42">
        <v>45551</v>
      </c>
      <c r="V138" s="36" t="s">
        <v>974</v>
      </c>
      <c r="W138" s="39" t="s">
        <v>52</v>
      </c>
      <c r="X138" s="36" t="s">
        <v>975</v>
      </c>
      <c r="Y138" s="39" t="s">
        <v>976</v>
      </c>
      <c r="Z138" s="36" t="s">
        <v>55</v>
      </c>
      <c r="AA138" s="41">
        <v>46199</v>
      </c>
      <c r="AB138" s="39" t="s">
        <v>56</v>
      </c>
      <c r="AC138" s="36" t="s">
        <v>288</v>
      </c>
      <c r="AD138" s="36" t="s">
        <v>69</v>
      </c>
      <c r="AE138" s="39" t="s">
        <v>59</v>
      </c>
      <c r="AF138" s="39" t="s">
        <v>60</v>
      </c>
      <c r="AG138" s="14"/>
      <c r="AH138" s="14"/>
    </row>
    <row r="139" spans="1:34" ht="15" customHeight="1" x14ac:dyDescent="0.2">
      <c r="A139" s="36" t="s">
        <v>839</v>
      </c>
      <c r="B139" s="36" t="s">
        <v>37</v>
      </c>
      <c r="C139" s="36" t="s">
        <v>38</v>
      </c>
      <c r="D139" s="36" t="s">
        <v>39</v>
      </c>
      <c r="E139" s="36" t="s">
        <v>977</v>
      </c>
      <c r="F139" s="37" t="s">
        <v>978</v>
      </c>
      <c r="G139" s="36">
        <f>VLOOKUP(F139,'[1]Saldos de Cartera'!$E$8:$S$343,15,0)</f>
        <v>13512.53</v>
      </c>
      <c r="H139" s="36" t="s">
        <v>42</v>
      </c>
      <c r="I139" s="38">
        <v>45094</v>
      </c>
      <c r="J139" s="44" t="s">
        <v>2388</v>
      </c>
      <c r="K139" s="36" t="s">
        <v>43</v>
      </c>
      <c r="L139" s="36" t="s">
        <v>979</v>
      </c>
      <c r="M139" s="36" t="s">
        <v>873</v>
      </c>
      <c r="N139" s="36" t="s">
        <v>980</v>
      </c>
      <c r="O139" s="36" t="s">
        <v>47</v>
      </c>
      <c r="P139" s="42">
        <v>45092</v>
      </c>
      <c r="Q139" s="36" t="s">
        <v>981</v>
      </c>
      <c r="R139" s="39">
        <v>396324</v>
      </c>
      <c r="S139" s="39" t="s">
        <v>49</v>
      </c>
      <c r="T139" s="36" t="s">
        <v>50</v>
      </c>
      <c r="U139" s="42">
        <v>45415</v>
      </c>
      <c r="V139" s="36" t="s">
        <v>982</v>
      </c>
      <c r="W139" s="39" t="s">
        <v>435</v>
      </c>
      <c r="X139" s="36" t="s">
        <v>983</v>
      </c>
      <c r="Y139" s="39" t="s">
        <v>984</v>
      </c>
      <c r="Z139" s="36" t="s">
        <v>55</v>
      </c>
      <c r="AA139" s="41">
        <v>46199</v>
      </c>
      <c r="AB139" s="39" t="s">
        <v>56</v>
      </c>
      <c r="AC139" s="36" t="s">
        <v>985</v>
      </c>
      <c r="AD139" s="36" t="s">
        <v>69</v>
      </c>
      <c r="AE139" s="39" t="s">
        <v>59</v>
      </c>
      <c r="AF139" s="39" t="s">
        <v>60</v>
      </c>
      <c r="AG139" s="14"/>
      <c r="AH139" s="14"/>
    </row>
    <row r="140" spans="1:34" ht="15" customHeight="1" x14ac:dyDescent="0.2">
      <c r="A140" s="36" t="s">
        <v>839</v>
      </c>
      <c r="B140" s="36" t="s">
        <v>37</v>
      </c>
      <c r="C140" s="36" t="s">
        <v>38</v>
      </c>
      <c r="D140" s="36" t="s">
        <v>39</v>
      </c>
      <c r="E140" s="36" t="s">
        <v>986</v>
      </c>
      <c r="F140" s="37" t="s">
        <v>987</v>
      </c>
      <c r="G140" s="36">
        <f>VLOOKUP(F140,'[1]Saldos de Cartera'!$E$8:$S$343,15,0)</f>
        <v>27928.37</v>
      </c>
      <c r="H140" s="36" t="s">
        <v>42</v>
      </c>
      <c r="I140" s="38">
        <v>45342</v>
      </c>
      <c r="J140" s="44" t="s">
        <v>2389</v>
      </c>
      <c r="K140" s="36" t="s">
        <v>43</v>
      </c>
      <c r="L140" s="36" t="s">
        <v>988</v>
      </c>
      <c r="M140" s="36" t="s">
        <v>45</v>
      </c>
      <c r="N140" s="36" t="s">
        <v>201</v>
      </c>
      <c r="O140" s="36" t="s">
        <v>47</v>
      </c>
      <c r="P140" s="42">
        <v>45328</v>
      </c>
      <c r="Q140" s="36" t="s">
        <v>989</v>
      </c>
      <c r="R140" s="39">
        <v>136094</v>
      </c>
      <c r="S140" s="39" t="s">
        <v>49</v>
      </c>
      <c r="T140" s="36" t="s">
        <v>50</v>
      </c>
      <c r="U140" s="42">
        <v>45533</v>
      </c>
      <c r="V140" s="36" t="s">
        <v>990</v>
      </c>
      <c r="W140" s="39" t="s">
        <v>52</v>
      </c>
      <c r="X140" s="36" t="s">
        <v>991</v>
      </c>
      <c r="Y140" s="39" t="s">
        <v>992</v>
      </c>
      <c r="Z140" s="36" t="s">
        <v>55</v>
      </c>
      <c r="AA140" s="41">
        <v>46199</v>
      </c>
      <c r="AB140" s="39" t="s">
        <v>56</v>
      </c>
      <c r="AC140" s="36" t="s">
        <v>993</v>
      </c>
      <c r="AD140" s="36" t="s">
        <v>69</v>
      </c>
      <c r="AE140" s="39" t="s">
        <v>59</v>
      </c>
      <c r="AF140" s="39" t="s">
        <v>60</v>
      </c>
      <c r="AG140" s="14"/>
      <c r="AH140" s="14"/>
    </row>
    <row r="141" spans="1:34" ht="15" customHeight="1" x14ac:dyDescent="0.2">
      <c r="A141" s="36" t="s">
        <v>839</v>
      </c>
      <c r="B141" s="36" t="s">
        <v>37</v>
      </c>
      <c r="C141" s="36" t="s">
        <v>38</v>
      </c>
      <c r="D141" s="36" t="s">
        <v>39</v>
      </c>
      <c r="E141" s="36" t="s">
        <v>994</v>
      </c>
      <c r="F141" s="37" t="s">
        <v>995</v>
      </c>
      <c r="G141" s="36">
        <f>VLOOKUP(F141,'[1]Saldos de Cartera'!$E$8:$S$343,15,0)</f>
        <v>46669.63</v>
      </c>
      <c r="H141" s="36" t="s">
        <v>42</v>
      </c>
      <c r="I141" s="38">
        <v>45335</v>
      </c>
      <c r="J141" s="44" t="s">
        <v>2390</v>
      </c>
      <c r="K141" s="36" t="s">
        <v>43</v>
      </c>
      <c r="L141" s="36" t="s">
        <v>996</v>
      </c>
      <c r="M141" s="36" t="s">
        <v>45</v>
      </c>
      <c r="N141" s="36" t="s">
        <v>201</v>
      </c>
      <c r="O141" s="36" t="s">
        <v>47</v>
      </c>
      <c r="P141" s="42">
        <v>45328</v>
      </c>
      <c r="Q141" s="36" t="s">
        <v>997</v>
      </c>
      <c r="R141" s="39">
        <v>507691</v>
      </c>
      <c r="S141" s="39" t="s">
        <v>49</v>
      </c>
      <c r="T141" s="36" t="s">
        <v>50</v>
      </c>
      <c r="U141" s="42">
        <v>45533</v>
      </c>
      <c r="V141" s="36" t="s">
        <v>998</v>
      </c>
      <c r="W141" s="39" t="s">
        <v>52</v>
      </c>
      <c r="X141" s="36" t="s">
        <v>991</v>
      </c>
      <c r="Y141" s="39" t="s">
        <v>999</v>
      </c>
      <c r="Z141" s="36" t="s">
        <v>55</v>
      </c>
      <c r="AA141" s="41">
        <v>46199</v>
      </c>
      <c r="AB141" s="39" t="s">
        <v>56</v>
      </c>
      <c r="AC141" s="36" t="s">
        <v>463</v>
      </c>
      <c r="AD141" s="36" t="s">
        <v>69</v>
      </c>
      <c r="AE141" s="39" t="s">
        <v>59</v>
      </c>
      <c r="AF141" s="39" t="s">
        <v>60</v>
      </c>
      <c r="AG141" s="14"/>
      <c r="AH141" s="14"/>
    </row>
    <row r="142" spans="1:34" ht="15" customHeight="1" x14ac:dyDescent="0.2">
      <c r="A142" s="36" t="s">
        <v>839</v>
      </c>
      <c r="B142" s="36" t="s">
        <v>37</v>
      </c>
      <c r="C142" s="36" t="s">
        <v>38</v>
      </c>
      <c r="D142" s="36" t="s">
        <v>39</v>
      </c>
      <c r="E142" s="36" t="s">
        <v>1000</v>
      </c>
      <c r="F142" s="37" t="s">
        <v>1001</v>
      </c>
      <c r="G142" s="36">
        <f>VLOOKUP(F142,'[1]Saldos de Cartera'!$E$8:$S$343,15,0)</f>
        <v>11471.31</v>
      </c>
      <c r="H142" s="36" t="s">
        <v>42</v>
      </c>
      <c r="I142" s="38">
        <v>45308</v>
      </c>
      <c r="J142" s="44" t="s">
        <v>2391</v>
      </c>
      <c r="K142" s="36" t="s">
        <v>43</v>
      </c>
      <c r="L142" s="36" t="s">
        <v>1002</v>
      </c>
      <c r="M142" s="36" t="s">
        <v>45</v>
      </c>
      <c r="N142" s="36" t="s">
        <v>1003</v>
      </c>
      <c r="O142" s="36" t="s">
        <v>47</v>
      </c>
      <c r="P142" s="42">
        <v>45303</v>
      </c>
      <c r="Q142" s="36" t="s">
        <v>1004</v>
      </c>
      <c r="R142" s="39">
        <v>440479</v>
      </c>
      <c r="S142" s="39" t="s">
        <v>49</v>
      </c>
      <c r="T142" s="36" t="s">
        <v>50</v>
      </c>
      <c r="U142" s="42">
        <v>45393</v>
      </c>
      <c r="V142" s="36" t="s">
        <v>1005</v>
      </c>
      <c r="W142" s="39" t="s">
        <v>52</v>
      </c>
      <c r="X142" s="36" t="s">
        <v>1006</v>
      </c>
      <c r="Y142" s="39" t="s">
        <v>1007</v>
      </c>
      <c r="Z142" s="36" t="s">
        <v>55</v>
      </c>
      <c r="AA142" s="41">
        <v>46199</v>
      </c>
      <c r="AB142" s="39" t="s">
        <v>56</v>
      </c>
      <c r="AC142" s="36" t="s">
        <v>1008</v>
      </c>
      <c r="AD142" s="36" t="s">
        <v>69</v>
      </c>
      <c r="AE142" s="39" t="s">
        <v>59</v>
      </c>
      <c r="AF142" s="39" t="s">
        <v>60</v>
      </c>
      <c r="AG142" s="14"/>
      <c r="AH142" s="14"/>
    </row>
    <row r="143" spans="1:34" ht="15" customHeight="1" x14ac:dyDescent="0.2">
      <c r="A143" s="36" t="s">
        <v>839</v>
      </c>
      <c r="B143" s="36" t="s">
        <v>37</v>
      </c>
      <c r="C143" s="36" t="s">
        <v>38</v>
      </c>
      <c r="D143" s="36" t="s">
        <v>39</v>
      </c>
      <c r="E143" s="36" t="s">
        <v>1009</v>
      </c>
      <c r="F143" s="37" t="s">
        <v>1010</v>
      </c>
      <c r="G143" s="36">
        <f>VLOOKUP(F143,'[1]Saldos de Cartera'!$E$8:$S$343,15,0)</f>
        <v>22584.19</v>
      </c>
      <c r="H143" s="36" t="s">
        <v>42</v>
      </c>
      <c r="I143" s="38">
        <v>45923</v>
      </c>
      <c r="J143" s="44" t="s">
        <v>2392</v>
      </c>
      <c r="K143" s="36" t="s">
        <v>43</v>
      </c>
      <c r="L143" s="36" t="s">
        <v>1011</v>
      </c>
      <c r="M143" s="36" t="s">
        <v>45</v>
      </c>
      <c r="N143" s="36" t="s">
        <v>46</v>
      </c>
      <c r="O143" s="36" t="s">
        <v>47</v>
      </c>
      <c r="P143" s="40">
        <v>45916</v>
      </c>
      <c r="Q143" s="39" t="s">
        <v>1012</v>
      </c>
      <c r="R143" s="39">
        <v>783048</v>
      </c>
      <c r="S143" s="39" t="s">
        <v>49</v>
      </c>
      <c r="T143" s="36" t="s">
        <v>50</v>
      </c>
      <c r="U143" s="43">
        <v>45961</v>
      </c>
      <c r="V143" s="39" t="s">
        <v>1013</v>
      </c>
      <c r="W143" s="39" t="s">
        <v>88</v>
      </c>
      <c r="X143" s="39" t="s">
        <v>1014</v>
      </c>
      <c r="Y143" s="39" t="s">
        <v>1015</v>
      </c>
      <c r="Z143" s="36" t="s">
        <v>55</v>
      </c>
      <c r="AA143" s="43">
        <v>46199</v>
      </c>
      <c r="AB143" s="39" t="s">
        <v>56</v>
      </c>
      <c r="AC143" s="39" t="s">
        <v>68</v>
      </c>
      <c r="AD143" s="39" t="s">
        <v>69</v>
      </c>
      <c r="AE143" s="39" t="s">
        <v>59</v>
      </c>
      <c r="AF143" s="39" t="s">
        <v>60</v>
      </c>
      <c r="AG143" s="14"/>
      <c r="AH143" s="14"/>
    </row>
    <row r="144" spans="1:34" ht="15" customHeight="1" x14ac:dyDescent="0.2">
      <c r="A144" s="36" t="s">
        <v>839</v>
      </c>
      <c r="B144" s="36" t="s">
        <v>37</v>
      </c>
      <c r="C144" s="36" t="s">
        <v>38</v>
      </c>
      <c r="D144" s="36" t="s">
        <v>39</v>
      </c>
      <c r="E144" s="36" t="s">
        <v>1016</v>
      </c>
      <c r="F144" s="37" t="s">
        <v>1017</v>
      </c>
      <c r="G144" s="36">
        <f>VLOOKUP(F144,'[1]Saldos de Cartera'!$E$8:$S$343,15,0)</f>
        <v>91000</v>
      </c>
      <c r="H144" s="36" t="s">
        <v>42</v>
      </c>
      <c r="I144" s="38">
        <v>45063</v>
      </c>
      <c r="J144" s="44" t="s">
        <v>2393</v>
      </c>
      <c r="K144" s="36" t="s">
        <v>72</v>
      </c>
      <c r="L144" s="36" t="s">
        <v>1018</v>
      </c>
      <c r="M144" s="36" t="s">
        <v>45</v>
      </c>
      <c r="N144" s="36" t="s">
        <v>343</v>
      </c>
      <c r="O144" s="36" t="s">
        <v>96</v>
      </c>
      <c r="P144" s="36"/>
      <c r="Q144" s="36"/>
      <c r="R144" s="39"/>
      <c r="S144" s="36"/>
      <c r="T144" s="36" t="s">
        <v>50</v>
      </c>
      <c r="U144" s="42">
        <v>45055</v>
      </c>
      <c r="V144" s="36" t="s">
        <v>1019</v>
      </c>
      <c r="W144" s="39" t="s">
        <v>52</v>
      </c>
      <c r="X144" s="39" t="s">
        <v>96</v>
      </c>
      <c r="Y144" s="39" t="s">
        <v>1020</v>
      </c>
      <c r="Z144" s="36" t="s">
        <v>96</v>
      </c>
      <c r="AA144" s="41">
        <v>46199</v>
      </c>
      <c r="AB144" s="39" t="s">
        <v>56</v>
      </c>
      <c r="AC144" s="36" t="s">
        <v>68</v>
      </c>
      <c r="AD144" s="36" t="s">
        <v>82</v>
      </c>
      <c r="AE144" s="39" t="s">
        <v>59</v>
      </c>
      <c r="AF144" s="39" t="s">
        <v>60</v>
      </c>
      <c r="AG144" s="14"/>
      <c r="AH144" s="14"/>
    </row>
    <row r="145" spans="1:34" ht="15" customHeight="1" x14ac:dyDescent="0.2">
      <c r="A145" s="36" t="s">
        <v>839</v>
      </c>
      <c r="B145" s="36" t="s">
        <v>37</v>
      </c>
      <c r="C145" s="36" t="s">
        <v>38</v>
      </c>
      <c r="D145" s="36" t="s">
        <v>39</v>
      </c>
      <c r="E145" s="36" t="s">
        <v>1021</v>
      </c>
      <c r="F145" s="37" t="s">
        <v>1022</v>
      </c>
      <c r="G145" s="36">
        <f>VLOOKUP(F145,'[1]Saldos de Cartera'!$E$8:$S$343,15,0)</f>
        <v>44752.34</v>
      </c>
      <c r="H145" s="36" t="s">
        <v>42</v>
      </c>
      <c r="I145" s="38">
        <v>45930</v>
      </c>
      <c r="J145" s="44" t="s">
        <v>2394</v>
      </c>
      <c r="K145" s="36" t="s">
        <v>72</v>
      </c>
      <c r="L145" s="36" t="s">
        <v>1023</v>
      </c>
      <c r="M145" s="36" t="s">
        <v>45</v>
      </c>
      <c r="N145" s="36" t="s">
        <v>201</v>
      </c>
      <c r="O145" s="36" t="s">
        <v>96</v>
      </c>
      <c r="P145" s="39"/>
      <c r="Q145" s="39"/>
      <c r="R145" s="39"/>
      <c r="S145" s="36"/>
      <c r="T145" s="36" t="s">
        <v>50</v>
      </c>
      <c r="U145" s="40">
        <v>45919</v>
      </c>
      <c r="V145" s="39" t="s">
        <v>1024</v>
      </c>
      <c r="W145" s="39" t="s">
        <v>52</v>
      </c>
      <c r="X145" s="39" t="s">
        <v>96</v>
      </c>
      <c r="Y145" s="39" t="s">
        <v>217</v>
      </c>
      <c r="Z145" s="39" t="s">
        <v>96</v>
      </c>
      <c r="AA145" s="43">
        <v>46199</v>
      </c>
      <c r="AB145" s="39" t="s">
        <v>56</v>
      </c>
      <c r="AC145" s="39" t="s">
        <v>68</v>
      </c>
      <c r="AD145" s="36" t="s">
        <v>82</v>
      </c>
      <c r="AE145" s="39" t="s">
        <v>59</v>
      </c>
      <c r="AF145" s="39" t="s">
        <v>60</v>
      </c>
      <c r="AG145" s="14"/>
      <c r="AH145" s="14"/>
    </row>
    <row r="146" spans="1:34" ht="15" customHeight="1" x14ac:dyDescent="0.2">
      <c r="A146" s="36" t="s">
        <v>839</v>
      </c>
      <c r="B146" s="36" t="s">
        <v>37</v>
      </c>
      <c r="C146" s="36" t="s">
        <v>38</v>
      </c>
      <c r="D146" s="36" t="s">
        <v>39</v>
      </c>
      <c r="E146" s="36" t="s">
        <v>1025</v>
      </c>
      <c r="F146" s="37" t="s">
        <v>1026</v>
      </c>
      <c r="G146" s="36">
        <f>VLOOKUP(F146,'[1]Saldos de Cartera'!$E$8:$S$343,15,0)</f>
        <v>16616.849999999999</v>
      </c>
      <c r="H146" s="36" t="s">
        <v>42</v>
      </c>
      <c r="I146" s="38">
        <v>45884</v>
      </c>
      <c r="J146" s="44" t="s">
        <v>2395</v>
      </c>
      <c r="K146" s="36" t="s">
        <v>43</v>
      </c>
      <c r="L146" s="36" t="s">
        <v>1027</v>
      </c>
      <c r="M146" s="36" t="s">
        <v>45</v>
      </c>
      <c r="N146" s="36" t="s">
        <v>46</v>
      </c>
      <c r="O146" s="36" t="s">
        <v>47</v>
      </c>
      <c r="P146" s="40">
        <v>45881</v>
      </c>
      <c r="Q146" s="39" t="s">
        <v>1028</v>
      </c>
      <c r="R146" s="39">
        <v>348306</v>
      </c>
      <c r="S146" s="39" t="s">
        <v>49</v>
      </c>
      <c r="T146" s="36" t="s">
        <v>50</v>
      </c>
      <c r="U146" s="40">
        <v>45923</v>
      </c>
      <c r="V146" s="39" t="s">
        <v>1029</v>
      </c>
      <c r="W146" s="39" t="s">
        <v>88</v>
      </c>
      <c r="X146" s="39" t="s">
        <v>1030</v>
      </c>
      <c r="Y146" s="39" t="s">
        <v>1031</v>
      </c>
      <c r="Z146" s="36" t="s">
        <v>55</v>
      </c>
      <c r="AA146" s="41">
        <v>46199</v>
      </c>
      <c r="AB146" s="39" t="s">
        <v>56</v>
      </c>
      <c r="AC146" s="36" t="s">
        <v>68</v>
      </c>
      <c r="AD146" s="36" t="s">
        <v>69</v>
      </c>
      <c r="AE146" s="39" t="s">
        <v>59</v>
      </c>
      <c r="AF146" s="39" t="s">
        <v>99</v>
      </c>
      <c r="AG146" s="14"/>
      <c r="AH146" s="14"/>
    </row>
    <row r="147" spans="1:34" ht="15" customHeight="1" x14ac:dyDescent="0.2">
      <c r="A147" s="36" t="s">
        <v>839</v>
      </c>
      <c r="B147" s="36" t="s">
        <v>37</v>
      </c>
      <c r="C147" s="36" t="s">
        <v>38</v>
      </c>
      <c r="D147" s="36" t="s">
        <v>39</v>
      </c>
      <c r="E147" s="36" t="s">
        <v>1032</v>
      </c>
      <c r="F147" s="37" t="s">
        <v>1033</v>
      </c>
      <c r="G147" s="36">
        <f>VLOOKUP(F147,'[1]Saldos de Cartera'!$E$8:$S$343,15,0)</f>
        <v>45101.34</v>
      </c>
      <c r="H147" s="36" t="s">
        <v>42</v>
      </c>
      <c r="I147" s="38">
        <v>45922</v>
      </c>
      <c r="J147" s="44" t="s">
        <v>324</v>
      </c>
      <c r="K147" s="36" t="s">
        <v>43</v>
      </c>
      <c r="L147" s="36" t="s">
        <v>1034</v>
      </c>
      <c r="M147" s="36" t="s">
        <v>45</v>
      </c>
      <c r="N147" s="36" t="s">
        <v>243</v>
      </c>
      <c r="O147" s="36" t="s">
        <v>96</v>
      </c>
      <c r="P147" s="39"/>
      <c r="Q147" s="39"/>
      <c r="R147" s="39"/>
      <c r="S147" s="36"/>
      <c r="T147" s="36" t="s">
        <v>327</v>
      </c>
      <c r="U147" s="40">
        <v>45922</v>
      </c>
      <c r="V147" s="39" t="s">
        <v>1035</v>
      </c>
      <c r="W147" s="39" t="s">
        <v>88</v>
      </c>
      <c r="X147" s="39" t="s">
        <v>1036</v>
      </c>
      <c r="Y147" s="39" t="s">
        <v>1037</v>
      </c>
      <c r="Z147" s="36" t="s">
        <v>55</v>
      </c>
      <c r="AA147" s="43">
        <v>46199</v>
      </c>
      <c r="AB147" s="39" t="s">
        <v>56</v>
      </c>
      <c r="AC147" s="39" t="s">
        <v>68</v>
      </c>
      <c r="AD147" s="39" t="s">
        <v>58</v>
      </c>
      <c r="AE147" s="39" t="s">
        <v>59</v>
      </c>
      <c r="AF147" s="39" t="s">
        <v>60</v>
      </c>
      <c r="AG147" s="14"/>
      <c r="AH147" s="14"/>
    </row>
    <row r="148" spans="1:34" ht="15" customHeight="1" x14ac:dyDescent="0.2">
      <c r="A148" s="36" t="s">
        <v>839</v>
      </c>
      <c r="B148" s="36" t="s">
        <v>37</v>
      </c>
      <c r="C148" s="36" t="s">
        <v>38</v>
      </c>
      <c r="D148" s="36" t="s">
        <v>39</v>
      </c>
      <c r="E148" s="36" t="s">
        <v>1038</v>
      </c>
      <c r="F148" s="37" t="s">
        <v>1039</v>
      </c>
      <c r="G148" s="36">
        <f>VLOOKUP(F148,'[1]Saldos de Cartera'!$E$8:$S$343,15,0)</f>
        <v>63439.24</v>
      </c>
      <c r="H148" s="36" t="s">
        <v>42</v>
      </c>
      <c r="I148" s="38">
        <v>45966</v>
      </c>
      <c r="J148" s="44" t="s">
        <v>324</v>
      </c>
      <c r="K148" s="36" t="s">
        <v>43</v>
      </c>
      <c r="L148" s="36" t="s">
        <v>1040</v>
      </c>
      <c r="M148" s="36" t="s">
        <v>45</v>
      </c>
      <c r="N148" s="36" t="s">
        <v>1041</v>
      </c>
      <c r="O148" s="36" t="s">
        <v>96</v>
      </c>
      <c r="P148" s="40"/>
      <c r="Q148" s="39"/>
      <c r="R148" s="39"/>
      <c r="S148" s="39"/>
      <c r="T148" s="36" t="s">
        <v>327</v>
      </c>
      <c r="U148" s="40">
        <v>45966</v>
      </c>
      <c r="V148" s="39" t="s">
        <v>1042</v>
      </c>
      <c r="W148" s="39" t="s">
        <v>435</v>
      </c>
      <c r="X148" s="39" t="s">
        <v>1043</v>
      </c>
      <c r="Y148" s="39" t="s">
        <v>1044</v>
      </c>
      <c r="Z148" s="36" t="s">
        <v>55</v>
      </c>
      <c r="AA148" s="43">
        <v>46188</v>
      </c>
      <c r="AB148" s="39" t="s">
        <v>56</v>
      </c>
      <c r="AC148" s="36" t="s">
        <v>68</v>
      </c>
      <c r="AD148" s="39" t="s">
        <v>69</v>
      </c>
      <c r="AE148" s="39" t="s">
        <v>59</v>
      </c>
      <c r="AF148" s="39" t="s">
        <v>99</v>
      </c>
      <c r="AG148" s="14"/>
      <c r="AH148" s="14"/>
    </row>
    <row r="149" spans="1:34" ht="15" customHeight="1" x14ac:dyDescent="0.2">
      <c r="A149" s="36" t="s">
        <v>839</v>
      </c>
      <c r="B149" s="36" t="s">
        <v>37</v>
      </c>
      <c r="C149" s="36" t="s">
        <v>38</v>
      </c>
      <c r="D149" s="36" t="s">
        <v>39</v>
      </c>
      <c r="E149" s="36" t="s">
        <v>1045</v>
      </c>
      <c r="F149" s="37" t="s">
        <v>1046</v>
      </c>
      <c r="G149" s="36">
        <f>VLOOKUP(F149,'[1]Saldos de Cartera'!$E$8:$S$343,15,0)</f>
        <v>50000</v>
      </c>
      <c r="H149" s="36" t="s">
        <v>42</v>
      </c>
      <c r="I149" s="38">
        <v>45989</v>
      </c>
      <c r="J149" s="44" t="s">
        <v>324</v>
      </c>
      <c r="K149" s="36" t="s">
        <v>43</v>
      </c>
      <c r="L149" s="36" t="s">
        <v>1047</v>
      </c>
      <c r="M149" s="36" t="s">
        <v>45</v>
      </c>
      <c r="N149" s="36" t="s">
        <v>1048</v>
      </c>
      <c r="O149" s="36" t="s">
        <v>96</v>
      </c>
      <c r="P149" s="39"/>
      <c r="Q149" s="39"/>
      <c r="R149" s="39"/>
      <c r="S149" s="39"/>
      <c r="T149" s="39" t="s">
        <v>327</v>
      </c>
      <c r="U149" s="43">
        <v>45989</v>
      </c>
      <c r="V149" s="39" t="s">
        <v>1049</v>
      </c>
      <c r="W149" s="39" t="s">
        <v>88</v>
      </c>
      <c r="X149" s="39" t="s">
        <v>1050</v>
      </c>
      <c r="Y149" s="39" t="s">
        <v>1051</v>
      </c>
      <c r="Z149" s="39" t="s">
        <v>80</v>
      </c>
      <c r="AA149" s="43">
        <v>46188</v>
      </c>
      <c r="AB149" s="39" t="s">
        <v>56</v>
      </c>
      <c r="AC149" s="36" t="s">
        <v>68</v>
      </c>
      <c r="AD149" s="39" t="s">
        <v>69</v>
      </c>
      <c r="AE149" s="39" t="s">
        <v>59</v>
      </c>
      <c r="AF149" s="39" t="s">
        <v>60</v>
      </c>
      <c r="AG149" s="14"/>
      <c r="AH149" s="14"/>
    </row>
    <row r="150" spans="1:34" ht="15" customHeight="1" x14ac:dyDescent="0.2">
      <c r="A150" s="36" t="s">
        <v>1052</v>
      </c>
      <c r="B150" s="36" t="s">
        <v>37</v>
      </c>
      <c r="C150" s="36" t="s">
        <v>197</v>
      </c>
      <c r="D150" s="36" t="s">
        <v>39</v>
      </c>
      <c r="E150" s="36" t="s">
        <v>1053</v>
      </c>
      <c r="F150" s="37" t="s">
        <v>1054</v>
      </c>
      <c r="G150" s="36">
        <f>VLOOKUP(F150,'[1]Saldos de Cartera'!$E$8:$S$343,15,0)</f>
        <v>19947.37</v>
      </c>
      <c r="H150" s="36" t="s">
        <v>42</v>
      </c>
      <c r="I150" s="38">
        <v>45705</v>
      </c>
      <c r="J150" s="44" t="s">
        <v>2396</v>
      </c>
      <c r="K150" s="36" t="s">
        <v>43</v>
      </c>
      <c r="L150" s="36" t="s">
        <v>1055</v>
      </c>
      <c r="M150" s="36" t="s">
        <v>45</v>
      </c>
      <c r="N150" s="36" t="s">
        <v>46</v>
      </c>
      <c r="O150" s="36" t="s">
        <v>47</v>
      </c>
      <c r="P150" s="42">
        <v>45705</v>
      </c>
      <c r="Q150" s="36" t="s">
        <v>1056</v>
      </c>
      <c r="R150" s="39">
        <v>947242</v>
      </c>
      <c r="S150" s="39" t="s">
        <v>49</v>
      </c>
      <c r="T150" s="36" t="s">
        <v>50</v>
      </c>
      <c r="U150" s="42">
        <v>45819</v>
      </c>
      <c r="V150" s="36" t="s">
        <v>1057</v>
      </c>
      <c r="W150" s="39" t="s">
        <v>88</v>
      </c>
      <c r="X150" s="36" t="s">
        <v>1058</v>
      </c>
      <c r="Y150" s="39" t="s">
        <v>1059</v>
      </c>
      <c r="Z150" s="36" t="s">
        <v>55</v>
      </c>
      <c r="AA150" s="41">
        <v>46197</v>
      </c>
      <c r="AB150" s="39" t="s">
        <v>56</v>
      </c>
      <c r="AC150" s="36" t="s">
        <v>1060</v>
      </c>
      <c r="AD150" s="36" t="s">
        <v>58</v>
      </c>
      <c r="AE150" s="39" t="s">
        <v>91</v>
      </c>
      <c r="AF150" s="39" t="s">
        <v>60</v>
      </c>
      <c r="AG150" s="14"/>
      <c r="AH150" s="14"/>
    </row>
    <row r="151" spans="1:34" ht="15" customHeight="1" x14ac:dyDescent="0.2">
      <c r="A151" s="36" t="s">
        <v>1052</v>
      </c>
      <c r="B151" s="36" t="s">
        <v>37</v>
      </c>
      <c r="C151" s="36" t="s">
        <v>197</v>
      </c>
      <c r="D151" s="36" t="s">
        <v>39</v>
      </c>
      <c r="E151" s="36" t="s">
        <v>1061</v>
      </c>
      <c r="F151" s="37" t="s">
        <v>1062</v>
      </c>
      <c r="G151" s="36">
        <f>VLOOKUP(F151,'[1]Saldos de Cartera'!$E$8:$S$343,15,0)</f>
        <v>19761.18</v>
      </c>
      <c r="H151" s="36" t="s">
        <v>42</v>
      </c>
      <c r="I151" s="38">
        <v>45930</v>
      </c>
      <c r="J151" s="44" t="s">
        <v>2397</v>
      </c>
      <c r="K151" s="36" t="s">
        <v>43</v>
      </c>
      <c r="L151" s="36" t="s">
        <v>1063</v>
      </c>
      <c r="M151" s="36" t="s">
        <v>45</v>
      </c>
      <c r="N151" s="36" t="s">
        <v>46</v>
      </c>
      <c r="O151" s="36" t="s">
        <v>47</v>
      </c>
      <c r="P151" s="40">
        <v>45918</v>
      </c>
      <c r="Q151" s="39" t="s">
        <v>1064</v>
      </c>
      <c r="R151" s="39">
        <v>805412</v>
      </c>
      <c r="S151" s="39" t="s">
        <v>49</v>
      </c>
      <c r="T151" s="36" t="s">
        <v>50</v>
      </c>
      <c r="U151" s="43">
        <v>45972</v>
      </c>
      <c r="V151" s="39" t="s">
        <v>1065</v>
      </c>
      <c r="W151" s="39" t="s">
        <v>88</v>
      </c>
      <c r="X151" s="39" t="s">
        <v>1066</v>
      </c>
      <c r="Y151" s="39" t="s">
        <v>255</v>
      </c>
      <c r="Z151" s="36" t="s">
        <v>55</v>
      </c>
      <c r="AA151" s="43">
        <v>46197</v>
      </c>
      <c r="AB151" s="39" t="s">
        <v>56</v>
      </c>
      <c r="AC151" s="39" t="s">
        <v>68</v>
      </c>
      <c r="AD151" s="39" t="s">
        <v>69</v>
      </c>
      <c r="AE151" s="39" t="s">
        <v>59</v>
      </c>
      <c r="AF151" s="39" t="s">
        <v>60</v>
      </c>
      <c r="AG151" s="14"/>
      <c r="AH151" s="14"/>
    </row>
    <row r="152" spans="1:34" ht="15" customHeight="1" x14ac:dyDescent="0.2">
      <c r="A152" s="36" t="s">
        <v>1052</v>
      </c>
      <c r="B152" s="36" t="s">
        <v>37</v>
      </c>
      <c r="C152" s="36" t="s">
        <v>197</v>
      </c>
      <c r="D152" s="36" t="s">
        <v>39</v>
      </c>
      <c r="E152" s="36" t="s">
        <v>1067</v>
      </c>
      <c r="F152" s="37" t="s">
        <v>1068</v>
      </c>
      <c r="G152" s="36">
        <f>VLOOKUP(F152,'[1]Saldos de Cartera'!$E$8:$S$343,15,0)</f>
        <v>28822.83</v>
      </c>
      <c r="H152" s="36" t="s">
        <v>42</v>
      </c>
      <c r="I152" s="38">
        <v>45919</v>
      </c>
      <c r="J152" s="44" t="s">
        <v>2398</v>
      </c>
      <c r="K152" s="36" t="s">
        <v>72</v>
      </c>
      <c r="L152" s="36" t="s">
        <v>1069</v>
      </c>
      <c r="M152" s="36" t="s">
        <v>45</v>
      </c>
      <c r="N152" s="36" t="s">
        <v>221</v>
      </c>
      <c r="O152" s="36" t="s">
        <v>96</v>
      </c>
      <c r="P152" s="39"/>
      <c r="Q152" s="39"/>
      <c r="R152" s="39"/>
      <c r="S152" s="36"/>
      <c r="T152" s="36" t="s">
        <v>50</v>
      </c>
      <c r="U152" s="40">
        <v>45919</v>
      </c>
      <c r="V152" s="39" t="s">
        <v>1070</v>
      </c>
      <c r="W152" s="39" t="s">
        <v>52</v>
      </c>
      <c r="X152" s="39" t="s">
        <v>96</v>
      </c>
      <c r="Y152" s="39" t="s">
        <v>223</v>
      </c>
      <c r="Z152" s="39" t="s">
        <v>96</v>
      </c>
      <c r="AA152" s="43">
        <v>46197</v>
      </c>
      <c r="AB152" s="39" t="s">
        <v>56</v>
      </c>
      <c r="AC152" s="39" t="s">
        <v>68</v>
      </c>
      <c r="AD152" s="36" t="s">
        <v>82</v>
      </c>
      <c r="AE152" s="39" t="s">
        <v>59</v>
      </c>
      <c r="AF152" s="39" t="s">
        <v>60</v>
      </c>
      <c r="AG152" s="14"/>
      <c r="AH152" s="14"/>
    </row>
    <row r="153" spans="1:34" ht="15" customHeight="1" x14ac:dyDescent="0.2">
      <c r="A153" s="36" t="s">
        <v>1052</v>
      </c>
      <c r="B153" s="36" t="s">
        <v>37</v>
      </c>
      <c r="C153" s="36" t="s">
        <v>197</v>
      </c>
      <c r="D153" s="36" t="s">
        <v>39</v>
      </c>
      <c r="E153" s="36" t="s">
        <v>1071</v>
      </c>
      <c r="F153" s="37" t="s">
        <v>1072</v>
      </c>
      <c r="G153" s="36">
        <f>VLOOKUP(F153,'[1]Saldos de Cartera'!$E$8:$S$343,15,0)</f>
        <v>5858.14</v>
      </c>
      <c r="H153" s="36" t="s">
        <v>42</v>
      </c>
      <c r="I153" s="38">
        <v>45523</v>
      </c>
      <c r="J153" s="44" t="s">
        <v>2399</v>
      </c>
      <c r="K153" s="36" t="s">
        <v>43</v>
      </c>
      <c r="L153" s="36" t="s">
        <v>1073</v>
      </c>
      <c r="M153" s="36" t="s">
        <v>45</v>
      </c>
      <c r="N153" s="36" t="s">
        <v>46</v>
      </c>
      <c r="O153" s="36" t="s">
        <v>47</v>
      </c>
      <c r="P153" s="40">
        <v>45834</v>
      </c>
      <c r="Q153" s="39" t="s">
        <v>1074</v>
      </c>
      <c r="R153" s="39"/>
      <c r="S153" s="39" t="s">
        <v>49</v>
      </c>
      <c r="T153" s="36" t="s">
        <v>50</v>
      </c>
      <c r="U153" s="40">
        <v>45874</v>
      </c>
      <c r="V153" s="39" t="s">
        <v>1075</v>
      </c>
      <c r="W153" s="39" t="s">
        <v>88</v>
      </c>
      <c r="X153" s="39" t="s">
        <v>1076</v>
      </c>
      <c r="Y153" s="39" t="s">
        <v>255</v>
      </c>
      <c r="Z153" s="36" t="s">
        <v>55</v>
      </c>
      <c r="AA153" s="41">
        <v>46197</v>
      </c>
      <c r="AB153" s="39" t="s">
        <v>56</v>
      </c>
      <c r="AC153" s="36" t="s">
        <v>1077</v>
      </c>
      <c r="AD153" s="36" t="s">
        <v>82</v>
      </c>
      <c r="AE153" s="39" t="s">
        <v>91</v>
      </c>
      <c r="AF153" s="39" t="s">
        <v>60</v>
      </c>
      <c r="AG153" s="14"/>
      <c r="AH153" s="14"/>
    </row>
    <row r="154" spans="1:34" ht="15" customHeight="1" x14ac:dyDescent="0.2">
      <c r="A154" s="36" t="s">
        <v>1052</v>
      </c>
      <c r="B154" s="36" t="s">
        <v>37</v>
      </c>
      <c r="C154" s="36" t="s">
        <v>197</v>
      </c>
      <c r="D154" s="36" t="s">
        <v>39</v>
      </c>
      <c r="E154" s="36" t="s">
        <v>1078</v>
      </c>
      <c r="F154" s="37" t="s">
        <v>1079</v>
      </c>
      <c r="G154" s="36">
        <f>VLOOKUP(F154,'[1]Saldos de Cartera'!$E$8:$S$343,15,0)</f>
        <v>15230.65</v>
      </c>
      <c r="H154" s="36" t="s">
        <v>42</v>
      </c>
      <c r="I154" s="38">
        <v>45408</v>
      </c>
      <c r="J154" s="44" t="s">
        <v>324</v>
      </c>
      <c r="K154" s="36" t="s">
        <v>43</v>
      </c>
      <c r="L154" s="36" t="s">
        <v>1080</v>
      </c>
      <c r="M154" s="36" t="s">
        <v>45</v>
      </c>
      <c r="N154" s="36" t="s">
        <v>243</v>
      </c>
      <c r="O154" s="36" t="s">
        <v>96</v>
      </c>
      <c r="P154" s="39"/>
      <c r="Q154" s="39"/>
      <c r="R154" s="39"/>
      <c r="S154" s="36"/>
      <c r="T154" s="36" t="s">
        <v>327</v>
      </c>
      <c r="U154" s="40">
        <v>45827</v>
      </c>
      <c r="V154" s="39" t="s">
        <v>1081</v>
      </c>
      <c r="W154" s="39" t="s">
        <v>435</v>
      </c>
      <c r="X154" s="39" t="s">
        <v>1082</v>
      </c>
      <c r="Y154" s="39" t="s">
        <v>1083</v>
      </c>
      <c r="Z154" s="36" t="s">
        <v>55</v>
      </c>
      <c r="AA154" s="41">
        <v>46197</v>
      </c>
      <c r="AB154" s="39" t="s">
        <v>56</v>
      </c>
      <c r="AC154" s="36" t="s">
        <v>1084</v>
      </c>
      <c r="AD154" s="39" t="s">
        <v>58</v>
      </c>
      <c r="AE154" s="39" t="s">
        <v>91</v>
      </c>
      <c r="AF154" s="39" t="s">
        <v>99</v>
      </c>
      <c r="AG154" s="14"/>
      <c r="AH154" s="14"/>
    </row>
    <row r="155" spans="1:34" ht="15" customHeight="1" x14ac:dyDescent="0.2">
      <c r="A155" s="36" t="s">
        <v>1052</v>
      </c>
      <c r="B155" s="36" t="s">
        <v>37</v>
      </c>
      <c r="C155" s="36" t="s">
        <v>197</v>
      </c>
      <c r="D155" s="36" t="s">
        <v>39</v>
      </c>
      <c r="E155" s="36" t="s">
        <v>1085</v>
      </c>
      <c r="F155" s="37" t="s">
        <v>1086</v>
      </c>
      <c r="G155" s="36">
        <f>VLOOKUP(F155,'[1]Saldos de Cartera'!$E$8:$S$343,15,0)</f>
        <v>50000</v>
      </c>
      <c r="H155" s="36" t="s">
        <v>42</v>
      </c>
      <c r="I155" s="38">
        <v>45918</v>
      </c>
      <c r="J155" s="44" t="s">
        <v>2400</v>
      </c>
      <c r="K155" s="36" t="s">
        <v>72</v>
      </c>
      <c r="L155" s="36" t="s">
        <v>1087</v>
      </c>
      <c r="M155" s="36" t="s">
        <v>45</v>
      </c>
      <c r="N155" s="36" t="s">
        <v>95</v>
      </c>
      <c r="O155" s="36" t="s">
        <v>96</v>
      </c>
      <c r="P155" s="39"/>
      <c r="Q155" s="39"/>
      <c r="R155" s="39"/>
      <c r="S155" s="36"/>
      <c r="T155" s="36" t="s">
        <v>50</v>
      </c>
      <c r="U155" s="40">
        <v>45916</v>
      </c>
      <c r="V155" s="39" t="s">
        <v>1088</v>
      </c>
      <c r="W155" s="39" t="s">
        <v>88</v>
      </c>
      <c r="X155" s="39" t="s">
        <v>96</v>
      </c>
      <c r="Y155" s="39" t="s">
        <v>1089</v>
      </c>
      <c r="Z155" s="39" t="s">
        <v>96</v>
      </c>
      <c r="AA155" s="43">
        <v>46197</v>
      </c>
      <c r="AB155" s="39" t="s">
        <v>56</v>
      </c>
      <c r="AC155" s="39" t="s">
        <v>68</v>
      </c>
      <c r="AD155" s="36" t="s">
        <v>82</v>
      </c>
      <c r="AE155" s="39" t="s">
        <v>59</v>
      </c>
      <c r="AF155" s="39" t="s">
        <v>60</v>
      </c>
      <c r="AG155" s="14"/>
      <c r="AH155" s="14"/>
    </row>
    <row r="156" spans="1:34" ht="15" customHeight="1" x14ac:dyDescent="0.2">
      <c r="A156" s="36" t="s">
        <v>1052</v>
      </c>
      <c r="B156" s="36" t="s">
        <v>37</v>
      </c>
      <c r="C156" s="36" t="s">
        <v>197</v>
      </c>
      <c r="D156" s="36" t="s">
        <v>39</v>
      </c>
      <c r="E156" s="36" t="s">
        <v>1090</v>
      </c>
      <c r="F156" s="37" t="s">
        <v>1091</v>
      </c>
      <c r="G156" s="36">
        <f>VLOOKUP(F156,'[1]Saldos de Cartera'!$E$8:$S$343,15,0)</f>
        <v>16113.96</v>
      </c>
      <c r="H156" s="36" t="s">
        <v>42</v>
      </c>
      <c r="I156" s="38">
        <v>45887</v>
      </c>
      <c r="J156" s="44" t="s">
        <v>2401</v>
      </c>
      <c r="K156" s="36" t="s">
        <v>43</v>
      </c>
      <c r="L156" s="36" t="s">
        <v>1092</v>
      </c>
      <c r="M156" s="36" t="s">
        <v>45</v>
      </c>
      <c r="N156" s="36" t="s">
        <v>46</v>
      </c>
      <c r="O156" s="36" t="s">
        <v>47</v>
      </c>
      <c r="P156" s="40">
        <v>45881</v>
      </c>
      <c r="Q156" s="39" t="s">
        <v>1093</v>
      </c>
      <c r="R156" s="39">
        <v>766750</v>
      </c>
      <c r="S156" s="39" t="s">
        <v>49</v>
      </c>
      <c r="T156" s="36" t="s">
        <v>50</v>
      </c>
      <c r="U156" s="40">
        <v>45923</v>
      </c>
      <c r="V156" s="39" t="s">
        <v>1094</v>
      </c>
      <c r="W156" s="39" t="s">
        <v>52</v>
      </c>
      <c r="X156" s="39" t="s">
        <v>1095</v>
      </c>
      <c r="Y156" s="39" t="s">
        <v>287</v>
      </c>
      <c r="Z156" s="36" t="s">
        <v>55</v>
      </c>
      <c r="AA156" s="42">
        <v>46197</v>
      </c>
      <c r="AB156" s="39" t="s">
        <v>56</v>
      </c>
      <c r="AC156" s="36" t="s">
        <v>68</v>
      </c>
      <c r="AD156" s="36" t="s">
        <v>69</v>
      </c>
      <c r="AE156" s="39" t="s">
        <v>59</v>
      </c>
      <c r="AF156" s="39" t="s">
        <v>60</v>
      </c>
      <c r="AG156" s="14"/>
      <c r="AH156" s="14"/>
    </row>
    <row r="157" spans="1:34" ht="15" customHeight="1" x14ac:dyDescent="0.2">
      <c r="A157" s="36" t="s">
        <v>1052</v>
      </c>
      <c r="B157" s="36" t="s">
        <v>37</v>
      </c>
      <c r="C157" s="36" t="s">
        <v>197</v>
      </c>
      <c r="D157" s="36" t="s">
        <v>39</v>
      </c>
      <c r="E157" s="36" t="s">
        <v>1096</v>
      </c>
      <c r="F157" s="37" t="s">
        <v>1097</v>
      </c>
      <c r="G157" s="36">
        <f>VLOOKUP(F157,'[1]Saldos de Cartera'!$E$8:$S$343,15,0)</f>
        <v>17009.78</v>
      </c>
      <c r="H157" s="36" t="s">
        <v>42</v>
      </c>
      <c r="I157" s="38">
        <v>45657</v>
      </c>
      <c r="J157" s="44" t="s">
        <v>2402</v>
      </c>
      <c r="K157" s="36" t="s">
        <v>43</v>
      </c>
      <c r="L157" s="36" t="s">
        <v>1098</v>
      </c>
      <c r="M157" s="36" t="s">
        <v>74</v>
      </c>
      <c r="N157" s="36" t="s">
        <v>1099</v>
      </c>
      <c r="O157" s="36" t="s">
        <v>47</v>
      </c>
      <c r="P157" s="41">
        <v>45649</v>
      </c>
      <c r="Q157" s="36" t="s">
        <v>1100</v>
      </c>
      <c r="R157" s="39"/>
      <c r="S157" s="39" t="s">
        <v>49</v>
      </c>
      <c r="T157" s="36" t="s">
        <v>50</v>
      </c>
      <c r="U157" s="41">
        <v>45980</v>
      </c>
      <c r="V157" s="36" t="s">
        <v>1101</v>
      </c>
      <c r="W157" s="39" t="s">
        <v>52</v>
      </c>
      <c r="X157" s="36" t="s">
        <v>1102</v>
      </c>
      <c r="Y157" s="39" t="s">
        <v>1103</v>
      </c>
      <c r="Z157" s="36" t="s">
        <v>55</v>
      </c>
      <c r="AA157" s="41">
        <v>46197</v>
      </c>
      <c r="AB157" s="39" t="s">
        <v>56</v>
      </c>
      <c r="AC157" s="36" t="s">
        <v>1104</v>
      </c>
      <c r="AD157" s="36" t="s">
        <v>82</v>
      </c>
      <c r="AE157" s="39" t="s">
        <v>91</v>
      </c>
      <c r="AF157" s="39" t="s">
        <v>99</v>
      </c>
      <c r="AG157" s="14"/>
      <c r="AH157" s="14"/>
    </row>
    <row r="158" spans="1:34" ht="15" customHeight="1" x14ac:dyDescent="0.2">
      <c r="A158" s="36" t="s">
        <v>1052</v>
      </c>
      <c r="B158" s="36" t="s">
        <v>37</v>
      </c>
      <c r="C158" s="36" t="s">
        <v>197</v>
      </c>
      <c r="D158" s="36" t="s">
        <v>39</v>
      </c>
      <c r="E158" s="36" t="s">
        <v>1105</v>
      </c>
      <c r="F158" s="37" t="s">
        <v>1106</v>
      </c>
      <c r="G158" s="36">
        <f>VLOOKUP(F158,'[1]Saldos de Cartera'!$E$8:$S$343,15,0)</f>
        <v>15373.64</v>
      </c>
      <c r="H158" s="36" t="s">
        <v>42</v>
      </c>
      <c r="I158" s="38">
        <v>45353</v>
      </c>
      <c r="J158" s="44" t="s">
        <v>2403</v>
      </c>
      <c r="K158" s="36" t="s">
        <v>72</v>
      </c>
      <c r="L158" s="36" t="s">
        <v>1107</v>
      </c>
      <c r="M158" s="36" t="s">
        <v>74</v>
      </c>
      <c r="N158" s="36" t="s">
        <v>141</v>
      </c>
      <c r="O158" s="36" t="s">
        <v>677</v>
      </c>
      <c r="P158" s="42">
        <v>45334</v>
      </c>
      <c r="Q158" s="36" t="s">
        <v>1108</v>
      </c>
      <c r="R158" s="39"/>
      <c r="S158" s="39" t="s">
        <v>66</v>
      </c>
      <c r="T158" s="36" t="s">
        <v>50</v>
      </c>
      <c r="U158" s="41">
        <v>45967</v>
      </c>
      <c r="V158" s="36" t="s">
        <v>1108</v>
      </c>
      <c r="W158" s="39" t="s">
        <v>435</v>
      </c>
      <c r="X158" s="36" t="s">
        <v>681</v>
      </c>
      <c r="Y158" s="42" t="s">
        <v>2533</v>
      </c>
      <c r="Z158" s="36" t="s">
        <v>137</v>
      </c>
      <c r="AA158" s="41">
        <v>46197</v>
      </c>
      <c r="AB158" s="39" t="s">
        <v>56</v>
      </c>
      <c r="AC158" s="36" t="s">
        <v>1109</v>
      </c>
      <c r="AD158" s="36" t="s">
        <v>82</v>
      </c>
      <c r="AE158" s="39" t="s">
        <v>59</v>
      </c>
      <c r="AF158" s="39" t="s">
        <v>60</v>
      </c>
      <c r="AG158" s="14"/>
      <c r="AH158" s="14"/>
    </row>
    <row r="159" spans="1:34" ht="15" customHeight="1" x14ac:dyDescent="0.2">
      <c r="A159" s="36" t="s">
        <v>1052</v>
      </c>
      <c r="B159" s="36" t="s">
        <v>37</v>
      </c>
      <c r="C159" s="36" t="s">
        <v>197</v>
      </c>
      <c r="D159" s="36" t="s">
        <v>39</v>
      </c>
      <c r="E159" s="36" t="s">
        <v>1105</v>
      </c>
      <c r="F159" s="37" t="s">
        <v>1110</v>
      </c>
      <c r="G159" s="36">
        <f>VLOOKUP(F159,'[1]Saldos de Cartera'!$E$8:$S$343,15,0)</f>
        <v>9866.35</v>
      </c>
      <c r="H159" s="36" t="s">
        <v>42</v>
      </c>
      <c r="I159" s="38">
        <v>45349</v>
      </c>
      <c r="J159" s="44" t="s">
        <v>2404</v>
      </c>
      <c r="K159" s="36" t="s">
        <v>72</v>
      </c>
      <c r="L159" s="36" t="s">
        <v>1107</v>
      </c>
      <c r="M159" s="36" t="s">
        <v>74</v>
      </c>
      <c r="N159" s="36" t="s">
        <v>141</v>
      </c>
      <c r="O159" s="36" t="s">
        <v>677</v>
      </c>
      <c r="P159" s="42">
        <v>45334</v>
      </c>
      <c r="Q159" s="36" t="s">
        <v>1108</v>
      </c>
      <c r="R159" s="39"/>
      <c r="S159" s="39" t="s">
        <v>66</v>
      </c>
      <c r="T159" s="36" t="s">
        <v>50</v>
      </c>
      <c r="U159" s="41">
        <v>45967</v>
      </c>
      <c r="V159" s="36" t="s">
        <v>1108</v>
      </c>
      <c r="W159" s="39" t="s">
        <v>435</v>
      </c>
      <c r="X159" s="36" t="s">
        <v>681</v>
      </c>
      <c r="Y159" s="39" t="s">
        <v>1111</v>
      </c>
      <c r="Z159" s="36" t="s">
        <v>137</v>
      </c>
      <c r="AA159" s="41">
        <v>46197</v>
      </c>
      <c r="AB159" s="39" t="s">
        <v>56</v>
      </c>
      <c r="AC159" s="36" t="s">
        <v>1109</v>
      </c>
      <c r="AD159" s="36" t="s">
        <v>82</v>
      </c>
      <c r="AE159" s="39" t="s">
        <v>59</v>
      </c>
      <c r="AF159" s="39" t="s">
        <v>60</v>
      </c>
      <c r="AG159" s="14"/>
      <c r="AH159" s="14"/>
    </row>
    <row r="160" spans="1:34" ht="15" customHeight="1" x14ac:dyDescent="0.2">
      <c r="A160" s="36" t="s">
        <v>1052</v>
      </c>
      <c r="B160" s="36" t="s">
        <v>37</v>
      </c>
      <c r="C160" s="36" t="s">
        <v>197</v>
      </c>
      <c r="D160" s="36" t="s">
        <v>39</v>
      </c>
      <c r="E160" s="36" t="s">
        <v>1112</v>
      </c>
      <c r="F160" s="37" t="s">
        <v>1113</v>
      </c>
      <c r="G160" s="36">
        <f>VLOOKUP(F160,'[1]Saldos de Cartera'!$E$8:$S$343,15,0)</f>
        <v>31826.85</v>
      </c>
      <c r="H160" s="36" t="s">
        <v>42</v>
      </c>
      <c r="I160" s="38">
        <v>45182</v>
      </c>
      <c r="J160" s="44" t="s">
        <v>2405</v>
      </c>
      <c r="K160" s="36" t="s">
        <v>72</v>
      </c>
      <c r="L160" s="36" t="s">
        <v>1114</v>
      </c>
      <c r="M160" s="36" t="s">
        <v>45</v>
      </c>
      <c r="N160" s="36" t="s">
        <v>385</v>
      </c>
      <c r="O160" s="36" t="s">
        <v>96</v>
      </c>
      <c r="P160" s="36"/>
      <c r="Q160" s="36"/>
      <c r="R160" s="39"/>
      <c r="S160" s="36"/>
      <c r="T160" s="36" t="s">
        <v>327</v>
      </c>
      <c r="U160" s="41">
        <v>46007</v>
      </c>
      <c r="V160" s="36" t="s">
        <v>1115</v>
      </c>
      <c r="W160" s="39" t="s">
        <v>88</v>
      </c>
      <c r="X160" s="39" t="s">
        <v>1116</v>
      </c>
      <c r="Y160" s="39" t="s">
        <v>1117</v>
      </c>
      <c r="Z160" s="36" t="s">
        <v>55</v>
      </c>
      <c r="AA160" s="41">
        <v>46199</v>
      </c>
      <c r="AB160" s="39" t="s">
        <v>56</v>
      </c>
      <c r="AC160" s="36" t="s">
        <v>1118</v>
      </c>
      <c r="AD160" s="36" t="s">
        <v>82</v>
      </c>
      <c r="AE160" s="39" t="s">
        <v>59</v>
      </c>
      <c r="AF160" s="39" t="s">
        <v>60</v>
      </c>
      <c r="AG160" s="14"/>
      <c r="AH160" s="14"/>
    </row>
    <row r="161" spans="1:34" ht="15" customHeight="1" x14ac:dyDescent="0.2">
      <c r="A161" s="36" t="s">
        <v>1052</v>
      </c>
      <c r="B161" s="36" t="s">
        <v>37</v>
      </c>
      <c r="C161" s="36" t="s">
        <v>197</v>
      </c>
      <c r="D161" s="36" t="s">
        <v>39</v>
      </c>
      <c r="E161" s="36" t="s">
        <v>1119</v>
      </c>
      <c r="F161" s="37" t="s">
        <v>1120</v>
      </c>
      <c r="G161" s="36">
        <f>VLOOKUP(F161,'[1]Saldos de Cartera'!$E$8:$S$343,15,0)</f>
        <v>18500</v>
      </c>
      <c r="H161" s="36" t="s">
        <v>42</v>
      </c>
      <c r="I161" s="38">
        <v>45919</v>
      </c>
      <c r="J161" s="44" t="s">
        <v>2406</v>
      </c>
      <c r="K161" s="36" t="s">
        <v>72</v>
      </c>
      <c r="L161" s="36" t="s">
        <v>1121</v>
      </c>
      <c r="M161" s="36" t="s">
        <v>45</v>
      </c>
      <c r="N161" s="36" t="s">
        <v>95</v>
      </c>
      <c r="O161" s="36" t="s">
        <v>96</v>
      </c>
      <c r="P161" s="39"/>
      <c r="Q161" s="39"/>
      <c r="R161" s="39"/>
      <c r="S161" s="36"/>
      <c r="T161" s="36" t="s">
        <v>50</v>
      </c>
      <c r="U161" s="40">
        <v>45919</v>
      </c>
      <c r="V161" s="39" t="s">
        <v>1122</v>
      </c>
      <c r="W161" s="39" t="s">
        <v>88</v>
      </c>
      <c r="X161" s="39" t="s">
        <v>96</v>
      </c>
      <c r="Y161" s="39" t="s">
        <v>1123</v>
      </c>
      <c r="Z161" s="39" t="s">
        <v>96</v>
      </c>
      <c r="AA161" s="43">
        <v>46197</v>
      </c>
      <c r="AB161" s="39" t="s">
        <v>56</v>
      </c>
      <c r="AC161" s="39" t="s">
        <v>68</v>
      </c>
      <c r="AD161" s="36" t="s">
        <v>82</v>
      </c>
      <c r="AE161" s="39" t="s">
        <v>59</v>
      </c>
      <c r="AF161" s="39" t="s">
        <v>60</v>
      </c>
      <c r="AG161" s="14"/>
      <c r="AH161" s="14"/>
    </row>
    <row r="162" spans="1:34" ht="15" customHeight="1" x14ac:dyDescent="0.2">
      <c r="A162" s="36" t="s">
        <v>1052</v>
      </c>
      <c r="B162" s="36" t="s">
        <v>37</v>
      </c>
      <c r="C162" s="36" t="s">
        <v>197</v>
      </c>
      <c r="D162" s="36" t="s">
        <v>39</v>
      </c>
      <c r="E162" s="36" t="s">
        <v>1124</v>
      </c>
      <c r="F162" s="37" t="s">
        <v>1125</v>
      </c>
      <c r="G162" s="36">
        <f>VLOOKUP(F162,'[1]Saldos de Cartera'!$E$8:$S$343,15,0)</f>
        <v>35301.089999999997</v>
      </c>
      <c r="H162" s="36" t="s">
        <v>42</v>
      </c>
      <c r="I162" s="38">
        <v>45961</v>
      </c>
      <c r="J162" s="44" t="s">
        <v>2407</v>
      </c>
      <c r="K162" s="36" t="s">
        <v>43</v>
      </c>
      <c r="L162" s="36" t="s">
        <v>1126</v>
      </c>
      <c r="M162" s="36" t="s">
        <v>45</v>
      </c>
      <c r="N162" s="36" t="s">
        <v>46</v>
      </c>
      <c r="O162" s="36" t="s">
        <v>47</v>
      </c>
      <c r="P162" s="43">
        <v>45958</v>
      </c>
      <c r="Q162" s="39" t="s">
        <v>1127</v>
      </c>
      <c r="R162" s="39">
        <v>363070</v>
      </c>
      <c r="S162" s="39" t="s">
        <v>49</v>
      </c>
      <c r="T162" s="36" t="s">
        <v>50</v>
      </c>
      <c r="U162" s="40">
        <v>46129</v>
      </c>
      <c r="V162" s="36" t="s">
        <v>1128</v>
      </c>
      <c r="W162" s="39" t="s">
        <v>88</v>
      </c>
      <c r="X162" s="36" t="s">
        <v>752</v>
      </c>
      <c r="Y162" s="39" t="s">
        <v>1129</v>
      </c>
      <c r="Z162" s="36" t="s">
        <v>55</v>
      </c>
      <c r="AA162" s="43">
        <v>46197</v>
      </c>
      <c r="AB162" s="39" t="s">
        <v>56</v>
      </c>
      <c r="AC162" s="39" t="s">
        <v>68</v>
      </c>
      <c r="AD162" s="39" t="s">
        <v>69</v>
      </c>
      <c r="AE162" s="39" t="s">
        <v>59</v>
      </c>
      <c r="AF162" s="39" t="s">
        <v>60</v>
      </c>
      <c r="AG162" s="14"/>
      <c r="AH162" s="14"/>
    </row>
    <row r="163" spans="1:34" ht="15" customHeight="1" x14ac:dyDescent="0.2">
      <c r="A163" s="36" t="s">
        <v>1052</v>
      </c>
      <c r="B163" s="36" t="s">
        <v>37</v>
      </c>
      <c r="C163" s="36" t="s">
        <v>197</v>
      </c>
      <c r="D163" s="36" t="s">
        <v>39</v>
      </c>
      <c r="E163" s="36" t="s">
        <v>1130</v>
      </c>
      <c r="F163" s="37" t="s">
        <v>1131</v>
      </c>
      <c r="G163" s="36">
        <f>VLOOKUP(F163,'[1]Saldos de Cartera'!$E$8:$S$343,15,0)</f>
        <v>27144.91</v>
      </c>
      <c r="H163" s="36" t="s">
        <v>42</v>
      </c>
      <c r="I163" s="38">
        <v>45610</v>
      </c>
      <c r="J163" s="44" t="s">
        <v>2408</v>
      </c>
      <c r="K163" s="36" t="s">
        <v>43</v>
      </c>
      <c r="L163" s="36" t="s">
        <v>1132</v>
      </c>
      <c r="M163" s="36" t="s">
        <v>74</v>
      </c>
      <c r="N163" s="36" t="s">
        <v>1133</v>
      </c>
      <c r="O163" s="36" t="s">
        <v>47</v>
      </c>
      <c r="P163" s="42">
        <v>45604</v>
      </c>
      <c r="Q163" s="36" t="s">
        <v>1134</v>
      </c>
      <c r="R163" s="39"/>
      <c r="S163" s="39" t="s">
        <v>49</v>
      </c>
      <c r="T163" s="36" t="s">
        <v>50</v>
      </c>
      <c r="U163" s="42">
        <v>46157</v>
      </c>
      <c r="V163" s="36" t="s">
        <v>1135</v>
      </c>
      <c r="W163" s="39" t="s">
        <v>88</v>
      </c>
      <c r="X163" s="36" t="s">
        <v>1136</v>
      </c>
      <c r="Y163" s="39" t="s">
        <v>1137</v>
      </c>
      <c r="Z163" s="36" t="s">
        <v>55</v>
      </c>
      <c r="AA163" s="41">
        <v>46197</v>
      </c>
      <c r="AB163" s="39" t="s">
        <v>56</v>
      </c>
      <c r="AC163" s="36" t="s">
        <v>1138</v>
      </c>
      <c r="AD163" s="36" t="s">
        <v>82</v>
      </c>
      <c r="AE163" s="39" t="s">
        <v>59</v>
      </c>
      <c r="AF163" s="39" t="s">
        <v>60</v>
      </c>
      <c r="AG163" s="14"/>
      <c r="AH163" s="14"/>
    </row>
    <row r="164" spans="1:34" ht="15" customHeight="1" x14ac:dyDescent="0.2">
      <c r="A164" s="36" t="s">
        <v>1052</v>
      </c>
      <c r="B164" s="36" t="s">
        <v>37</v>
      </c>
      <c r="C164" s="36" t="s">
        <v>197</v>
      </c>
      <c r="D164" s="36" t="s">
        <v>39</v>
      </c>
      <c r="E164" s="36" t="s">
        <v>1139</v>
      </c>
      <c r="F164" s="37" t="s">
        <v>1140</v>
      </c>
      <c r="G164" s="36">
        <f>VLOOKUP(F164,'[1]Saldos de Cartera'!$E$8:$S$343,15,0)</f>
        <v>2458.12</v>
      </c>
      <c r="H164" s="36" t="s">
        <v>42</v>
      </c>
      <c r="I164" s="38">
        <v>45349</v>
      </c>
      <c r="J164" s="44" t="s">
        <v>2409</v>
      </c>
      <c r="K164" s="36" t="s">
        <v>43</v>
      </c>
      <c r="L164" s="36" t="s">
        <v>1141</v>
      </c>
      <c r="M164" s="36" t="s">
        <v>74</v>
      </c>
      <c r="N164" s="36" t="s">
        <v>118</v>
      </c>
      <c r="O164" s="36" t="s">
        <v>677</v>
      </c>
      <c r="P164" s="42">
        <v>45342</v>
      </c>
      <c r="Q164" s="36" t="s">
        <v>1142</v>
      </c>
      <c r="R164" s="39">
        <v>116989</v>
      </c>
      <c r="S164" s="36" t="s">
        <v>679</v>
      </c>
      <c r="T164" s="36" t="s">
        <v>50</v>
      </c>
      <c r="U164" s="42">
        <v>45812</v>
      </c>
      <c r="V164" s="36" t="s">
        <v>1143</v>
      </c>
      <c r="W164" s="39" t="s">
        <v>52</v>
      </c>
      <c r="X164" s="36" t="s">
        <v>681</v>
      </c>
      <c r="Y164" s="39" t="s">
        <v>1144</v>
      </c>
      <c r="Z164" s="36" t="s">
        <v>137</v>
      </c>
      <c r="AA164" s="41">
        <v>46197</v>
      </c>
      <c r="AB164" s="39" t="s">
        <v>56</v>
      </c>
      <c r="AC164" s="36" t="s">
        <v>1145</v>
      </c>
      <c r="AD164" s="36" t="s">
        <v>69</v>
      </c>
      <c r="AE164" s="39" t="s">
        <v>59</v>
      </c>
      <c r="AF164" s="39" t="s">
        <v>60</v>
      </c>
      <c r="AG164" s="14"/>
      <c r="AH164" s="14"/>
    </row>
    <row r="165" spans="1:34" ht="15" customHeight="1" x14ac:dyDescent="0.2">
      <c r="A165" s="36" t="s">
        <v>1052</v>
      </c>
      <c r="B165" s="36" t="s">
        <v>37</v>
      </c>
      <c r="C165" s="36" t="s">
        <v>197</v>
      </c>
      <c r="D165" s="36" t="s">
        <v>39</v>
      </c>
      <c r="E165" s="36" t="s">
        <v>1146</v>
      </c>
      <c r="F165" s="37" t="s">
        <v>1147</v>
      </c>
      <c r="G165" s="36">
        <f>VLOOKUP(F165,'[1]Saldos de Cartera'!$E$8:$S$343,15,0)</f>
        <v>20032.82</v>
      </c>
      <c r="H165" s="36" t="s">
        <v>42</v>
      </c>
      <c r="I165" s="38">
        <v>45115</v>
      </c>
      <c r="J165" s="44" t="s">
        <v>2410</v>
      </c>
      <c r="K165" s="36" t="s">
        <v>43</v>
      </c>
      <c r="L165" s="36" t="s">
        <v>1148</v>
      </c>
      <c r="M165" s="36" t="s">
        <v>74</v>
      </c>
      <c r="N165" s="36" t="s">
        <v>1133</v>
      </c>
      <c r="O165" s="36" t="s">
        <v>47</v>
      </c>
      <c r="P165" s="42">
        <v>45103</v>
      </c>
      <c r="Q165" s="36" t="s">
        <v>1149</v>
      </c>
      <c r="R165" s="39">
        <v>861053</v>
      </c>
      <c r="S165" s="36" t="s">
        <v>49</v>
      </c>
      <c r="T165" s="36" t="s">
        <v>50</v>
      </c>
      <c r="U165" s="42">
        <v>46171</v>
      </c>
      <c r="V165" s="36" t="s">
        <v>1150</v>
      </c>
      <c r="W165" s="39" t="s">
        <v>88</v>
      </c>
      <c r="X165" s="36" t="s">
        <v>1151</v>
      </c>
      <c r="Y165" s="39" t="s">
        <v>1152</v>
      </c>
      <c r="Z165" s="36" t="s">
        <v>55</v>
      </c>
      <c r="AA165" s="41">
        <v>46199</v>
      </c>
      <c r="AB165" s="39" t="s">
        <v>56</v>
      </c>
      <c r="AC165" s="36" t="s">
        <v>1153</v>
      </c>
      <c r="AD165" s="36" t="s">
        <v>58</v>
      </c>
      <c r="AE165" s="39" t="s">
        <v>59</v>
      </c>
      <c r="AF165" s="39" t="s">
        <v>60</v>
      </c>
      <c r="AG165" s="14"/>
      <c r="AH165" s="14"/>
    </row>
    <row r="166" spans="1:34" ht="15" customHeight="1" x14ac:dyDescent="0.2">
      <c r="A166" s="36" t="s">
        <v>1052</v>
      </c>
      <c r="B166" s="36" t="s">
        <v>37</v>
      </c>
      <c r="C166" s="36" t="s">
        <v>197</v>
      </c>
      <c r="D166" s="36" t="s">
        <v>39</v>
      </c>
      <c r="E166" s="36" t="s">
        <v>1154</v>
      </c>
      <c r="F166" s="37" t="s">
        <v>1155</v>
      </c>
      <c r="G166" s="36">
        <f>VLOOKUP(F166,'[1]Saldos de Cartera'!$E$8:$S$343,15,0)</f>
        <v>50265.55</v>
      </c>
      <c r="H166" s="36" t="s">
        <v>42</v>
      </c>
      <c r="I166" s="38">
        <v>45418</v>
      </c>
      <c r="J166" s="44" t="s">
        <v>2411</v>
      </c>
      <c r="K166" s="36" t="s">
        <v>43</v>
      </c>
      <c r="L166" s="36" t="s">
        <v>1156</v>
      </c>
      <c r="M166" s="36" t="s">
        <v>45</v>
      </c>
      <c r="N166" s="36" t="s">
        <v>243</v>
      </c>
      <c r="O166" s="36" t="s">
        <v>96</v>
      </c>
      <c r="P166" s="39"/>
      <c r="Q166" s="39"/>
      <c r="R166" s="39"/>
      <c r="S166" s="36"/>
      <c r="T166" s="36" t="s">
        <v>327</v>
      </c>
      <c r="U166" s="40">
        <v>45827</v>
      </c>
      <c r="V166" s="39" t="s">
        <v>1081</v>
      </c>
      <c r="W166" s="39" t="s">
        <v>435</v>
      </c>
      <c r="X166" s="39" t="s">
        <v>1082</v>
      </c>
      <c r="Y166" s="39" t="s">
        <v>1157</v>
      </c>
      <c r="Z166" s="36" t="s">
        <v>55</v>
      </c>
      <c r="AA166" s="41">
        <v>46197</v>
      </c>
      <c r="AB166" s="39" t="s">
        <v>56</v>
      </c>
      <c r="AC166" s="36" t="s">
        <v>1084</v>
      </c>
      <c r="AD166" s="39" t="s">
        <v>58</v>
      </c>
      <c r="AE166" s="39" t="s">
        <v>91</v>
      </c>
      <c r="AF166" s="39" t="s">
        <v>99</v>
      </c>
      <c r="AG166" s="14"/>
      <c r="AH166" s="14"/>
    </row>
    <row r="167" spans="1:34" ht="15" customHeight="1" x14ac:dyDescent="0.2">
      <c r="A167" s="36" t="s">
        <v>1052</v>
      </c>
      <c r="B167" s="36" t="s">
        <v>37</v>
      </c>
      <c r="C167" s="36" t="s">
        <v>197</v>
      </c>
      <c r="D167" s="36" t="s">
        <v>39</v>
      </c>
      <c r="E167" s="36" t="s">
        <v>1158</v>
      </c>
      <c r="F167" s="37" t="s">
        <v>1159</v>
      </c>
      <c r="G167" s="36">
        <f>VLOOKUP(F167,'[1]Saldos de Cartera'!$E$8:$S$343,15,0)</f>
        <v>3872.7</v>
      </c>
      <c r="H167" s="36" t="s">
        <v>42</v>
      </c>
      <c r="I167" s="38">
        <v>45423</v>
      </c>
      <c r="J167" s="44" t="s">
        <v>2412</v>
      </c>
      <c r="K167" s="36" t="s">
        <v>43</v>
      </c>
      <c r="L167" s="36" t="s">
        <v>1160</v>
      </c>
      <c r="M167" s="36" t="s">
        <v>74</v>
      </c>
      <c r="N167" s="36" t="s">
        <v>75</v>
      </c>
      <c r="O167" s="36" t="s">
        <v>47</v>
      </c>
      <c r="P167" s="42">
        <v>45420</v>
      </c>
      <c r="Q167" s="36" t="s">
        <v>1161</v>
      </c>
      <c r="R167" s="39"/>
      <c r="S167" s="39" t="s">
        <v>49</v>
      </c>
      <c r="T167" s="36" t="s">
        <v>50</v>
      </c>
      <c r="U167" s="42">
        <v>45527</v>
      </c>
      <c r="V167" s="36" t="s">
        <v>1162</v>
      </c>
      <c r="W167" s="39" t="s">
        <v>52</v>
      </c>
      <c r="X167" s="36" t="s">
        <v>1163</v>
      </c>
      <c r="Y167" s="39" t="s">
        <v>1164</v>
      </c>
      <c r="Z167" s="36" t="s">
        <v>80</v>
      </c>
      <c r="AA167" s="41">
        <v>46197</v>
      </c>
      <c r="AB167" s="39" t="s">
        <v>56</v>
      </c>
      <c r="AC167" s="36" t="s">
        <v>90</v>
      </c>
      <c r="AD167" s="36" t="s">
        <v>58</v>
      </c>
      <c r="AE167" s="39" t="s">
        <v>91</v>
      </c>
      <c r="AF167" s="39" t="s">
        <v>60</v>
      </c>
      <c r="AG167" s="14"/>
      <c r="AH167" s="14"/>
    </row>
    <row r="168" spans="1:34" ht="15" customHeight="1" x14ac:dyDescent="0.2">
      <c r="A168" s="36" t="s">
        <v>1052</v>
      </c>
      <c r="B168" s="36" t="s">
        <v>37</v>
      </c>
      <c r="C168" s="36" t="s">
        <v>197</v>
      </c>
      <c r="D168" s="36" t="s">
        <v>39</v>
      </c>
      <c r="E168" s="36" t="s">
        <v>1165</v>
      </c>
      <c r="F168" s="37" t="s">
        <v>1166</v>
      </c>
      <c r="G168" s="36">
        <f>VLOOKUP(F168,'[1]Saldos de Cartera'!$E$8:$S$343,15,0)</f>
        <v>7911.92</v>
      </c>
      <c r="H168" s="36" t="s">
        <v>42</v>
      </c>
      <c r="I168" s="38">
        <v>45520</v>
      </c>
      <c r="J168" s="44" t="s">
        <v>2413</v>
      </c>
      <c r="K168" s="36" t="s">
        <v>43</v>
      </c>
      <c r="L168" s="36" t="s">
        <v>1167</v>
      </c>
      <c r="M168" s="36" t="s">
        <v>74</v>
      </c>
      <c r="N168" s="36" t="s">
        <v>1133</v>
      </c>
      <c r="O168" s="36" t="s">
        <v>96</v>
      </c>
      <c r="P168" s="36"/>
      <c r="Q168" s="36"/>
      <c r="R168" s="39"/>
      <c r="S168" s="36"/>
      <c r="T168" s="36" t="s">
        <v>50</v>
      </c>
      <c r="U168" s="42">
        <v>45517</v>
      </c>
      <c r="V168" s="36" t="s">
        <v>1168</v>
      </c>
      <c r="W168" s="39" t="s">
        <v>52</v>
      </c>
      <c r="X168" s="39" t="s">
        <v>96</v>
      </c>
      <c r="Y168" s="39" t="s">
        <v>1169</v>
      </c>
      <c r="Z168" s="36" t="s">
        <v>96</v>
      </c>
      <c r="AA168" s="41">
        <v>46197</v>
      </c>
      <c r="AB168" s="39" t="s">
        <v>56</v>
      </c>
      <c r="AC168" s="36" t="s">
        <v>90</v>
      </c>
      <c r="AD168" s="36" t="s">
        <v>82</v>
      </c>
      <c r="AE168" s="39" t="s">
        <v>91</v>
      </c>
      <c r="AF168" s="39" t="s">
        <v>99</v>
      </c>
      <c r="AG168" s="14"/>
      <c r="AH168" s="14"/>
    </row>
    <row r="169" spans="1:34" ht="15" customHeight="1" x14ac:dyDescent="0.2">
      <c r="A169" s="36" t="s">
        <v>1052</v>
      </c>
      <c r="B169" s="36" t="s">
        <v>37</v>
      </c>
      <c r="C169" s="36" t="s">
        <v>197</v>
      </c>
      <c r="D169" s="36" t="s">
        <v>39</v>
      </c>
      <c r="E169" s="36" t="s">
        <v>1165</v>
      </c>
      <c r="F169" s="37" t="s">
        <v>1170</v>
      </c>
      <c r="G169" s="36">
        <f>VLOOKUP(F169,'[1]Saldos de Cartera'!$E$8:$S$343,15,0)</f>
        <v>12899.44</v>
      </c>
      <c r="H169" s="36" t="s">
        <v>42</v>
      </c>
      <c r="I169" s="38">
        <v>45520</v>
      </c>
      <c r="J169" s="44" t="s">
        <v>324</v>
      </c>
      <c r="K169" s="36" t="s">
        <v>43</v>
      </c>
      <c r="L169" s="36" t="s">
        <v>1171</v>
      </c>
      <c r="M169" s="36" t="s">
        <v>74</v>
      </c>
      <c r="N169" s="36" t="s">
        <v>326</v>
      </c>
      <c r="O169" s="36" t="s">
        <v>96</v>
      </c>
      <c r="P169" s="36"/>
      <c r="Q169" s="36"/>
      <c r="R169" s="39"/>
      <c r="S169" s="36"/>
      <c r="T169" s="36" t="s">
        <v>327</v>
      </c>
      <c r="U169" s="42">
        <v>45518</v>
      </c>
      <c r="V169" s="36" t="s">
        <v>1172</v>
      </c>
      <c r="W169" s="39" t="s">
        <v>1173</v>
      </c>
      <c r="X169" s="36" t="s">
        <v>1174</v>
      </c>
      <c r="Y169" s="39" t="s">
        <v>1175</v>
      </c>
      <c r="Z169" s="36" t="s">
        <v>55</v>
      </c>
      <c r="AA169" s="41">
        <v>46197</v>
      </c>
      <c r="AB169" s="39" t="s">
        <v>56</v>
      </c>
      <c r="AC169" s="36" t="s">
        <v>1176</v>
      </c>
      <c r="AD169" s="39" t="s">
        <v>58</v>
      </c>
      <c r="AE169" s="39" t="s">
        <v>91</v>
      </c>
      <c r="AF169" s="39" t="s">
        <v>60</v>
      </c>
      <c r="AG169" s="14"/>
      <c r="AH169" s="14"/>
    </row>
    <row r="170" spans="1:34" ht="15" customHeight="1" x14ac:dyDescent="0.2">
      <c r="A170" s="36" t="s">
        <v>1052</v>
      </c>
      <c r="B170" s="36" t="s">
        <v>37</v>
      </c>
      <c r="C170" s="36" t="s">
        <v>197</v>
      </c>
      <c r="D170" s="36" t="s">
        <v>39</v>
      </c>
      <c r="E170" s="36" t="s">
        <v>1177</v>
      </c>
      <c r="F170" s="37" t="s">
        <v>1178</v>
      </c>
      <c r="G170" s="36">
        <f>VLOOKUP(F170,'[1]Saldos de Cartera'!$E$8:$S$343,15,0)</f>
        <v>48161.79</v>
      </c>
      <c r="H170" s="36" t="s">
        <v>42</v>
      </c>
      <c r="I170" s="38">
        <v>44908</v>
      </c>
      <c r="J170" s="44" t="s">
        <v>2414</v>
      </c>
      <c r="K170" s="36" t="s">
        <v>72</v>
      </c>
      <c r="L170" s="36" t="s">
        <v>1179</v>
      </c>
      <c r="M170" s="36" t="s">
        <v>74</v>
      </c>
      <c r="N170" s="36" t="s">
        <v>1180</v>
      </c>
      <c r="O170" s="36" t="s">
        <v>47</v>
      </c>
      <c r="P170" s="41">
        <v>44127</v>
      </c>
      <c r="Q170" s="36" t="s">
        <v>1181</v>
      </c>
      <c r="R170" s="39">
        <v>752058</v>
      </c>
      <c r="S170" s="39" t="s">
        <v>66</v>
      </c>
      <c r="T170" s="36" t="s">
        <v>50</v>
      </c>
      <c r="U170" s="41">
        <v>44516</v>
      </c>
      <c r="V170" s="36" t="s">
        <v>1182</v>
      </c>
      <c r="W170" s="39" t="s">
        <v>52</v>
      </c>
      <c r="X170" s="36" t="s">
        <v>681</v>
      </c>
      <c r="Y170" s="39" t="s">
        <v>1183</v>
      </c>
      <c r="Z170" s="36" t="s">
        <v>80</v>
      </c>
      <c r="AA170" s="41">
        <v>46195</v>
      </c>
      <c r="AB170" s="39" t="s">
        <v>56</v>
      </c>
      <c r="AC170" s="36" t="s">
        <v>1184</v>
      </c>
      <c r="AD170" s="36" t="s">
        <v>82</v>
      </c>
      <c r="AE170" s="39" t="s">
        <v>59</v>
      </c>
      <c r="AF170" s="39" t="s">
        <v>60</v>
      </c>
      <c r="AG170" s="14"/>
      <c r="AH170" s="14"/>
    </row>
    <row r="171" spans="1:34" ht="15" customHeight="1" x14ac:dyDescent="0.2">
      <c r="A171" s="36" t="s">
        <v>1052</v>
      </c>
      <c r="B171" s="36" t="s">
        <v>37</v>
      </c>
      <c r="C171" s="36" t="s">
        <v>197</v>
      </c>
      <c r="D171" s="36" t="s">
        <v>39</v>
      </c>
      <c r="E171" s="36" t="s">
        <v>1185</v>
      </c>
      <c r="F171" s="37" t="s">
        <v>1186</v>
      </c>
      <c r="G171" s="36">
        <f>VLOOKUP(F171,'[1]Saldos de Cartera'!$E$8:$S$343,15,0)</f>
        <v>12228.41</v>
      </c>
      <c r="H171" s="36" t="s">
        <v>42</v>
      </c>
      <c r="I171" s="38">
        <v>45479</v>
      </c>
      <c r="J171" s="44" t="s">
        <v>324</v>
      </c>
      <c r="K171" s="36" t="s">
        <v>43</v>
      </c>
      <c r="L171" s="36" t="s">
        <v>1187</v>
      </c>
      <c r="M171" s="36" t="s">
        <v>74</v>
      </c>
      <c r="N171" s="36" t="s">
        <v>64</v>
      </c>
      <c r="O171" s="36" t="s">
        <v>96</v>
      </c>
      <c r="P171" s="36"/>
      <c r="Q171" s="36"/>
      <c r="R171" s="39"/>
      <c r="S171" s="36"/>
      <c r="T171" s="36" t="s">
        <v>327</v>
      </c>
      <c r="U171" s="42">
        <v>45533</v>
      </c>
      <c r="V171" s="36" t="s">
        <v>1188</v>
      </c>
      <c r="W171" s="39" t="s">
        <v>52</v>
      </c>
      <c r="X171" s="36" t="s">
        <v>1189</v>
      </c>
      <c r="Y171" s="39" t="s">
        <v>1190</v>
      </c>
      <c r="Z171" s="36" t="s">
        <v>55</v>
      </c>
      <c r="AA171" s="41">
        <v>46197</v>
      </c>
      <c r="AB171" s="39" t="s">
        <v>56</v>
      </c>
      <c r="AC171" s="36" t="s">
        <v>1191</v>
      </c>
      <c r="AD171" s="39" t="s">
        <v>58</v>
      </c>
      <c r="AE171" s="39" t="s">
        <v>91</v>
      </c>
      <c r="AF171" s="39" t="s">
        <v>99</v>
      </c>
      <c r="AG171" s="14"/>
      <c r="AH171" s="14"/>
    </row>
    <row r="172" spans="1:34" ht="15" customHeight="1" x14ac:dyDescent="0.2">
      <c r="A172" s="36" t="s">
        <v>1052</v>
      </c>
      <c r="B172" s="36" t="s">
        <v>37</v>
      </c>
      <c r="C172" s="36" t="s">
        <v>197</v>
      </c>
      <c r="D172" s="36" t="s">
        <v>39</v>
      </c>
      <c r="E172" s="36" t="s">
        <v>1192</v>
      </c>
      <c r="F172" s="37" t="s">
        <v>1193</v>
      </c>
      <c r="G172" s="36">
        <f>VLOOKUP(F172,'[1]Saldos de Cartera'!$E$8:$S$343,15,0)</f>
        <v>28495.98</v>
      </c>
      <c r="H172" s="36" t="s">
        <v>42</v>
      </c>
      <c r="I172" s="38">
        <v>45840</v>
      </c>
      <c r="J172" s="44" t="s">
        <v>2415</v>
      </c>
      <c r="K172" s="36" t="s">
        <v>43</v>
      </c>
      <c r="L172" s="36" t="s">
        <v>1194</v>
      </c>
      <c r="M172" s="36" t="s">
        <v>45</v>
      </c>
      <c r="N172" s="36" t="s">
        <v>46</v>
      </c>
      <c r="O172" s="36" t="s">
        <v>47</v>
      </c>
      <c r="P172" s="40">
        <v>45834</v>
      </c>
      <c r="Q172" s="39" t="s">
        <v>1195</v>
      </c>
      <c r="R172" s="39">
        <v>549692</v>
      </c>
      <c r="S172" s="39" t="s">
        <v>49</v>
      </c>
      <c r="T172" s="36" t="s">
        <v>50</v>
      </c>
      <c r="U172" s="43">
        <v>46008</v>
      </c>
      <c r="V172" s="39" t="s">
        <v>1196</v>
      </c>
      <c r="W172" s="39" t="s">
        <v>88</v>
      </c>
      <c r="X172" s="39" t="s">
        <v>1197</v>
      </c>
      <c r="Y172" s="39" t="s">
        <v>1198</v>
      </c>
      <c r="Z172" s="36" t="s">
        <v>55</v>
      </c>
      <c r="AA172" s="41">
        <v>46197</v>
      </c>
      <c r="AB172" s="39" t="s">
        <v>56</v>
      </c>
      <c r="AC172" s="36" t="s">
        <v>68</v>
      </c>
      <c r="AD172" s="39" t="s">
        <v>69</v>
      </c>
      <c r="AE172" s="39" t="s">
        <v>59</v>
      </c>
      <c r="AF172" s="39" t="s">
        <v>60</v>
      </c>
      <c r="AG172" s="14"/>
      <c r="AH172" s="14"/>
    </row>
    <row r="173" spans="1:34" ht="15" customHeight="1" x14ac:dyDescent="0.2">
      <c r="A173" s="36" t="s">
        <v>1052</v>
      </c>
      <c r="B173" s="36" t="s">
        <v>37</v>
      </c>
      <c r="C173" s="36" t="s">
        <v>197</v>
      </c>
      <c r="D173" s="36" t="s">
        <v>39</v>
      </c>
      <c r="E173" s="36" t="s">
        <v>1199</v>
      </c>
      <c r="F173" s="37" t="s">
        <v>1200</v>
      </c>
      <c r="G173" s="36">
        <f>VLOOKUP(F173,'[1]Saldos de Cartera'!$E$8:$S$343,15,0)</f>
        <v>12293.85</v>
      </c>
      <c r="H173" s="36" t="s">
        <v>42</v>
      </c>
      <c r="I173" s="38">
        <v>45406</v>
      </c>
      <c r="J173" s="44" t="s">
        <v>2416</v>
      </c>
      <c r="K173" s="36" t="s">
        <v>72</v>
      </c>
      <c r="L173" s="36" t="s">
        <v>1201</v>
      </c>
      <c r="M173" s="36" t="s">
        <v>74</v>
      </c>
      <c r="N173" s="36" t="s">
        <v>1133</v>
      </c>
      <c r="O173" s="36" t="s">
        <v>47</v>
      </c>
      <c r="P173" s="42">
        <v>45404</v>
      </c>
      <c r="Q173" s="36" t="s">
        <v>1202</v>
      </c>
      <c r="R173" s="39">
        <v>780092</v>
      </c>
      <c r="S173" s="39" t="s">
        <v>49</v>
      </c>
      <c r="T173" s="36" t="s">
        <v>50</v>
      </c>
      <c r="U173" s="42">
        <v>45698</v>
      </c>
      <c r="V173" s="36" t="s">
        <v>1203</v>
      </c>
      <c r="W173" s="39" t="s">
        <v>52</v>
      </c>
      <c r="X173" s="36" t="s">
        <v>1204</v>
      </c>
      <c r="Y173" s="39" t="s">
        <v>1205</v>
      </c>
      <c r="Z173" s="36" t="s">
        <v>80</v>
      </c>
      <c r="AA173" s="41">
        <v>46199</v>
      </c>
      <c r="AB173" s="39" t="s">
        <v>56</v>
      </c>
      <c r="AC173" s="36" t="s">
        <v>463</v>
      </c>
      <c r="AD173" s="36" t="s">
        <v>69</v>
      </c>
      <c r="AE173" s="39" t="s">
        <v>59</v>
      </c>
      <c r="AF173" s="39" t="s">
        <v>60</v>
      </c>
      <c r="AG173" s="14"/>
      <c r="AH173" s="14"/>
    </row>
    <row r="174" spans="1:34" ht="15" customHeight="1" x14ac:dyDescent="0.2">
      <c r="A174" s="36" t="s">
        <v>1052</v>
      </c>
      <c r="B174" s="36" t="s">
        <v>37</v>
      </c>
      <c r="C174" s="36" t="s">
        <v>197</v>
      </c>
      <c r="D174" s="36" t="s">
        <v>39</v>
      </c>
      <c r="E174" s="36" t="s">
        <v>1206</v>
      </c>
      <c r="F174" s="37" t="s">
        <v>1207</v>
      </c>
      <c r="G174" s="36">
        <f>VLOOKUP(F174,'[1]Saldos de Cartera'!$E$8:$S$343,15,0)</f>
        <v>71361.88</v>
      </c>
      <c r="H174" s="36" t="s">
        <v>42</v>
      </c>
      <c r="I174" s="38">
        <v>45210</v>
      </c>
      <c r="J174" s="44" t="s">
        <v>2417</v>
      </c>
      <c r="K174" s="36" t="s">
        <v>43</v>
      </c>
      <c r="L174" s="36" t="s">
        <v>1208</v>
      </c>
      <c r="M174" s="36" t="s">
        <v>74</v>
      </c>
      <c r="N174" s="36" t="s">
        <v>1209</v>
      </c>
      <c r="O174" s="36" t="s">
        <v>47</v>
      </c>
      <c r="P174" s="43">
        <v>45209</v>
      </c>
      <c r="Q174" s="36" t="s">
        <v>1210</v>
      </c>
      <c r="R174" s="39">
        <v>465795</v>
      </c>
      <c r="S174" s="39" t="s">
        <v>49</v>
      </c>
      <c r="T174" s="36" t="s">
        <v>50</v>
      </c>
      <c r="U174" s="42">
        <v>45308</v>
      </c>
      <c r="V174" s="36" t="s">
        <v>1211</v>
      </c>
      <c r="W174" s="39" t="s">
        <v>52</v>
      </c>
      <c r="X174" s="36" t="s">
        <v>1212</v>
      </c>
      <c r="Y174" s="39" t="s">
        <v>1213</v>
      </c>
      <c r="Z174" s="36" t="s">
        <v>55</v>
      </c>
      <c r="AA174" s="41">
        <v>46197</v>
      </c>
      <c r="AB174" s="39" t="s">
        <v>56</v>
      </c>
      <c r="AC174" s="36" t="s">
        <v>1214</v>
      </c>
      <c r="AD174" s="36" t="s">
        <v>58</v>
      </c>
      <c r="AE174" s="39" t="s">
        <v>59</v>
      </c>
      <c r="AF174" s="39" t="s">
        <v>60</v>
      </c>
      <c r="AG174" s="14"/>
      <c r="AH174" s="14"/>
    </row>
    <row r="175" spans="1:34" ht="15" customHeight="1" x14ac:dyDescent="0.2">
      <c r="A175" s="36" t="s">
        <v>1052</v>
      </c>
      <c r="B175" s="36" t="s">
        <v>37</v>
      </c>
      <c r="C175" s="36" t="s">
        <v>197</v>
      </c>
      <c r="D175" s="36" t="s">
        <v>39</v>
      </c>
      <c r="E175" s="36" t="s">
        <v>1215</v>
      </c>
      <c r="F175" s="37" t="s">
        <v>1216</v>
      </c>
      <c r="G175" s="36">
        <f>VLOOKUP(F175,'[1]Saldos de Cartera'!$E$8:$S$343,15,0)</f>
        <v>62000</v>
      </c>
      <c r="H175" s="36" t="s">
        <v>42</v>
      </c>
      <c r="I175" s="38">
        <v>45918</v>
      </c>
      <c r="J175" s="44" t="s">
        <v>2418</v>
      </c>
      <c r="K175" s="36" t="s">
        <v>72</v>
      </c>
      <c r="L175" s="36" t="s">
        <v>1217</v>
      </c>
      <c r="M175" s="36" t="s">
        <v>45</v>
      </c>
      <c r="N175" s="36" t="s">
        <v>1218</v>
      </c>
      <c r="O175" s="36" t="s">
        <v>47</v>
      </c>
      <c r="P175" s="43">
        <v>46104</v>
      </c>
      <c r="Q175" s="39" t="s">
        <v>1219</v>
      </c>
      <c r="R175" s="45">
        <v>508790</v>
      </c>
      <c r="S175" s="39" t="s">
        <v>49</v>
      </c>
      <c r="T175" s="36" t="s">
        <v>50</v>
      </c>
      <c r="U175" s="40">
        <v>46155</v>
      </c>
      <c r="V175" s="39" t="s">
        <v>1220</v>
      </c>
      <c r="W175" s="39" t="s">
        <v>88</v>
      </c>
      <c r="X175" s="39" t="s">
        <v>1221</v>
      </c>
      <c r="Y175" s="39" t="s">
        <v>1222</v>
      </c>
      <c r="Z175" s="36" t="s">
        <v>80</v>
      </c>
      <c r="AA175" s="43">
        <v>46197</v>
      </c>
      <c r="AB175" s="39" t="s">
        <v>56</v>
      </c>
      <c r="AC175" s="39" t="s">
        <v>68</v>
      </c>
      <c r="AD175" s="39" t="s">
        <v>69</v>
      </c>
      <c r="AE175" s="39" t="s">
        <v>59</v>
      </c>
      <c r="AF175" s="39" t="s">
        <v>60</v>
      </c>
      <c r="AG175" s="14"/>
      <c r="AH175" s="14"/>
    </row>
    <row r="176" spans="1:34" ht="15" customHeight="1" x14ac:dyDescent="0.2">
      <c r="A176" s="36" t="s">
        <v>1052</v>
      </c>
      <c r="B176" s="36" t="s">
        <v>37</v>
      </c>
      <c r="C176" s="36" t="s">
        <v>197</v>
      </c>
      <c r="D176" s="36" t="s">
        <v>39</v>
      </c>
      <c r="E176" s="36" t="s">
        <v>1223</v>
      </c>
      <c r="F176" s="37" t="s">
        <v>1224</v>
      </c>
      <c r="G176" s="36">
        <f>VLOOKUP(F176,'[1]Saldos de Cartera'!$E$8:$S$343,15,0)</f>
        <v>31068.82</v>
      </c>
      <c r="H176" s="36" t="s">
        <v>42</v>
      </c>
      <c r="I176" s="38">
        <v>45475</v>
      </c>
      <c r="J176" s="44" t="s">
        <v>2419</v>
      </c>
      <c r="K176" s="36" t="s">
        <v>43</v>
      </c>
      <c r="L176" s="36" t="s">
        <v>1225</v>
      </c>
      <c r="M176" s="36" t="s">
        <v>74</v>
      </c>
      <c r="N176" s="36" t="s">
        <v>1133</v>
      </c>
      <c r="O176" s="36" t="s">
        <v>47</v>
      </c>
      <c r="P176" s="42">
        <v>45471</v>
      </c>
      <c r="Q176" s="36" t="s">
        <v>1226</v>
      </c>
      <c r="R176" s="39">
        <v>733815</v>
      </c>
      <c r="S176" s="39" t="s">
        <v>49</v>
      </c>
      <c r="T176" s="36" t="s">
        <v>50</v>
      </c>
      <c r="U176" s="42">
        <v>46206</v>
      </c>
      <c r="V176" s="36" t="s">
        <v>1227</v>
      </c>
      <c r="W176" s="39" t="s">
        <v>435</v>
      </c>
      <c r="X176" s="36" t="s">
        <v>1228</v>
      </c>
      <c r="Y176" s="39" t="s">
        <v>1229</v>
      </c>
      <c r="Z176" s="36" t="s">
        <v>55</v>
      </c>
      <c r="AA176" s="41">
        <v>46197</v>
      </c>
      <c r="AB176" s="39" t="s">
        <v>56</v>
      </c>
      <c r="AC176" s="36" t="s">
        <v>1230</v>
      </c>
      <c r="AD176" s="36" t="s">
        <v>82</v>
      </c>
      <c r="AE176" s="39" t="s">
        <v>59</v>
      </c>
      <c r="AF176" s="39" t="s">
        <v>60</v>
      </c>
      <c r="AG176" s="14"/>
      <c r="AH176" s="14"/>
    </row>
    <row r="177" spans="1:34" ht="15" customHeight="1" x14ac:dyDescent="0.2">
      <c r="A177" s="36" t="s">
        <v>1052</v>
      </c>
      <c r="B177" s="36" t="s">
        <v>37</v>
      </c>
      <c r="C177" s="36" t="s">
        <v>197</v>
      </c>
      <c r="D177" s="36" t="s">
        <v>39</v>
      </c>
      <c r="E177" s="36" t="s">
        <v>1231</v>
      </c>
      <c r="F177" s="37" t="s">
        <v>1232</v>
      </c>
      <c r="G177" s="36">
        <f>VLOOKUP(F177,'[1]Saldos de Cartera'!$E$8:$S$343,15,0)</f>
        <v>552.77</v>
      </c>
      <c r="H177" s="36" t="s">
        <v>42</v>
      </c>
      <c r="I177" s="38">
        <v>46070</v>
      </c>
      <c r="J177" s="44" t="s">
        <v>2420</v>
      </c>
      <c r="K177" s="36" t="s">
        <v>43</v>
      </c>
      <c r="L177" s="36" t="s">
        <v>1233</v>
      </c>
      <c r="M177" s="36" t="s">
        <v>45</v>
      </c>
      <c r="N177" s="36" t="s">
        <v>1218</v>
      </c>
      <c r="O177" s="36" t="s">
        <v>96</v>
      </c>
      <c r="P177" s="36"/>
      <c r="Q177" s="36"/>
      <c r="R177" s="39"/>
      <c r="S177" s="36"/>
      <c r="T177" s="36" t="s">
        <v>327</v>
      </c>
      <c r="U177" s="42">
        <v>46070</v>
      </c>
      <c r="V177" s="39" t="s">
        <v>1234</v>
      </c>
      <c r="W177" s="39" t="s">
        <v>88</v>
      </c>
      <c r="X177" s="39" t="s">
        <v>1235</v>
      </c>
      <c r="Y177" s="39" t="s">
        <v>1236</v>
      </c>
      <c r="Z177" s="36" t="s">
        <v>55</v>
      </c>
      <c r="AA177" s="41">
        <v>46199</v>
      </c>
      <c r="AB177" s="39" t="s">
        <v>56</v>
      </c>
      <c r="AC177" s="36" t="s">
        <v>90</v>
      </c>
      <c r="AD177" s="39" t="s">
        <v>58</v>
      </c>
      <c r="AE177" s="39" t="s">
        <v>59</v>
      </c>
      <c r="AF177" s="39" t="s">
        <v>99</v>
      </c>
      <c r="AG177" s="14"/>
      <c r="AH177" s="14"/>
    </row>
    <row r="178" spans="1:34" ht="15" customHeight="1" x14ac:dyDescent="0.2">
      <c r="A178" s="36" t="s">
        <v>1052</v>
      </c>
      <c r="B178" s="36" t="s">
        <v>37</v>
      </c>
      <c r="C178" s="36" t="s">
        <v>197</v>
      </c>
      <c r="D178" s="36" t="s">
        <v>39</v>
      </c>
      <c r="E178" s="36" t="s">
        <v>1237</v>
      </c>
      <c r="F178" s="37" t="s">
        <v>1238</v>
      </c>
      <c r="G178" s="36">
        <f>VLOOKUP(F178,'[1]Saldos de Cartera'!$E$8:$S$343,15,0)</f>
        <v>17154.650000000001</v>
      </c>
      <c r="H178" s="36" t="s">
        <v>42</v>
      </c>
      <c r="I178" s="38">
        <v>45792</v>
      </c>
      <c r="J178" s="44" t="s">
        <v>2421</v>
      </c>
      <c r="K178" s="36" t="s">
        <v>43</v>
      </c>
      <c r="L178" s="36" t="s">
        <v>1239</v>
      </c>
      <c r="M178" s="36" t="s">
        <v>45</v>
      </c>
      <c r="N178" s="36" t="s">
        <v>46</v>
      </c>
      <c r="O178" s="36" t="s">
        <v>47</v>
      </c>
      <c r="P178" s="40">
        <v>45790</v>
      </c>
      <c r="Q178" s="39" t="s">
        <v>1240</v>
      </c>
      <c r="R178" s="39">
        <v>698886</v>
      </c>
      <c r="S178" s="39" t="s">
        <v>49</v>
      </c>
      <c r="T178" s="36" t="s">
        <v>50</v>
      </c>
      <c r="U178" s="40">
        <v>45819</v>
      </c>
      <c r="V178" s="39" t="s">
        <v>1241</v>
      </c>
      <c r="W178" s="39" t="s">
        <v>52</v>
      </c>
      <c r="X178" s="39" t="s">
        <v>1242</v>
      </c>
      <c r="Y178" s="39" t="s">
        <v>1243</v>
      </c>
      <c r="Z178" s="36" t="s">
        <v>55</v>
      </c>
      <c r="AA178" s="41">
        <v>46197</v>
      </c>
      <c r="AB178" s="39" t="s">
        <v>56</v>
      </c>
      <c r="AC178" s="39" t="s">
        <v>1244</v>
      </c>
      <c r="AD178" s="39" t="s">
        <v>69</v>
      </c>
      <c r="AE178" s="39" t="s">
        <v>91</v>
      </c>
      <c r="AF178" s="39" t="s">
        <v>60</v>
      </c>
      <c r="AG178" s="14"/>
      <c r="AH178" s="14"/>
    </row>
    <row r="179" spans="1:34" ht="15" customHeight="1" x14ac:dyDescent="0.2">
      <c r="A179" s="36" t="s">
        <v>1052</v>
      </c>
      <c r="B179" s="36" t="s">
        <v>37</v>
      </c>
      <c r="C179" s="36" t="s">
        <v>197</v>
      </c>
      <c r="D179" s="36" t="s">
        <v>39</v>
      </c>
      <c r="E179" s="36" t="s">
        <v>1245</v>
      </c>
      <c r="F179" s="37" t="s">
        <v>1246</v>
      </c>
      <c r="G179" s="36">
        <f>VLOOKUP(F179,'[1]Saldos de Cartera'!$E$8:$S$343,15,0)</f>
        <v>17193.45</v>
      </c>
      <c r="H179" s="36" t="s">
        <v>42</v>
      </c>
      <c r="I179" s="38">
        <v>45705</v>
      </c>
      <c r="J179" s="44" t="s">
        <v>2422</v>
      </c>
      <c r="K179" s="36" t="s">
        <v>43</v>
      </c>
      <c r="L179" s="36" t="s">
        <v>1247</v>
      </c>
      <c r="M179" s="36" t="s">
        <v>74</v>
      </c>
      <c r="N179" s="36" t="s">
        <v>1133</v>
      </c>
      <c r="O179" s="36" t="s">
        <v>47</v>
      </c>
      <c r="P179" s="42">
        <v>45695</v>
      </c>
      <c r="Q179" s="36" t="s">
        <v>1248</v>
      </c>
      <c r="R179" s="39">
        <v>205351</v>
      </c>
      <c r="S179" s="39" t="s">
        <v>49</v>
      </c>
      <c r="T179" s="36" t="s">
        <v>50</v>
      </c>
      <c r="U179" s="42">
        <v>46035</v>
      </c>
      <c r="V179" s="39" t="s">
        <v>1249</v>
      </c>
      <c r="W179" s="39" t="s">
        <v>52</v>
      </c>
      <c r="X179" s="36" t="s">
        <v>1250</v>
      </c>
      <c r="Y179" s="39" t="s">
        <v>2537</v>
      </c>
      <c r="Z179" s="36" t="s">
        <v>55</v>
      </c>
      <c r="AA179" s="41">
        <v>46197</v>
      </c>
      <c r="AB179" s="39" t="s">
        <v>56</v>
      </c>
      <c r="AC179" s="36" t="s">
        <v>1251</v>
      </c>
      <c r="AD179" s="36" t="s">
        <v>58</v>
      </c>
      <c r="AE179" s="39" t="s">
        <v>59</v>
      </c>
      <c r="AF179" s="39" t="s">
        <v>99</v>
      </c>
      <c r="AG179" s="14"/>
      <c r="AH179" s="14"/>
    </row>
    <row r="180" spans="1:34" ht="15" customHeight="1" x14ac:dyDescent="0.2">
      <c r="A180" s="36" t="s">
        <v>1252</v>
      </c>
      <c r="B180" s="36" t="s">
        <v>37</v>
      </c>
      <c r="C180" s="36" t="s">
        <v>197</v>
      </c>
      <c r="D180" s="36" t="s">
        <v>39</v>
      </c>
      <c r="E180" s="36" t="s">
        <v>1253</v>
      </c>
      <c r="F180" s="37" t="s">
        <v>1254</v>
      </c>
      <c r="G180" s="36">
        <f>VLOOKUP(F180,'[1]Saldos de Cartera'!$E$8:$S$343,15,0)</f>
        <v>4862.8500000000004</v>
      </c>
      <c r="H180" s="36" t="s">
        <v>42</v>
      </c>
      <c r="I180" s="38">
        <v>45493</v>
      </c>
      <c r="J180" s="44" t="s">
        <v>2423</v>
      </c>
      <c r="K180" s="36" t="s">
        <v>43</v>
      </c>
      <c r="L180" s="36" t="s">
        <v>1255</v>
      </c>
      <c r="M180" s="36" t="s">
        <v>74</v>
      </c>
      <c r="N180" s="36" t="s">
        <v>1133</v>
      </c>
      <c r="O180" s="36" t="s">
        <v>47</v>
      </c>
      <c r="P180" s="42">
        <v>45491</v>
      </c>
      <c r="Q180" s="36" t="s">
        <v>1256</v>
      </c>
      <c r="R180" s="39">
        <v>646989</v>
      </c>
      <c r="S180" s="39" t="s">
        <v>49</v>
      </c>
      <c r="T180" s="36" t="s">
        <v>50</v>
      </c>
      <c r="U180" s="42">
        <v>46052</v>
      </c>
      <c r="V180" s="36" t="s">
        <v>1257</v>
      </c>
      <c r="W180" s="39" t="s">
        <v>88</v>
      </c>
      <c r="X180" s="36" t="s">
        <v>1258</v>
      </c>
      <c r="Y180" s="39" t="s">
        <v>1259</v>
      </c>
      <c r="Z180" s="36" t="s">
        <v>55</v>
      </c>
      <c r="AA180" s="41">
        <v>46197</v>
      </c>
      <c r="AB180" s="39" t="s">
        <v>56</v>
      </c>
      <c r="AC180" s="36" t="s">
        <v>1260</v>
      </c>
      <c r="AD180" s="36" t="s">
        <v>82</v>
      </c>
      <c r="AE180" s="39" t="s">
        <v>59</v>
      </c>
      <c r="AF180" s="39" t="s">
        <v>99</v>
      </c>
      <c r="AG180" s="14"/>
      <c r="AH180" s="14"/>
    </row>
    <row r="181" spans="1:34" ht="15" customHeight="1" x14ac:dyDescent="0.2">
      <c r="A181" s="36" t="s">
        <v>1252</v>
      </c>
      <c r="B181" s="36" t="s">
        <v>37</v>
      </c>
      <c r="C181" s="36" t="s">
        <v>197</v>
      </c>
      <c r="D181" s="36" t="s">
        <v>39</v>
      </c>
      <c r="E181" s="36" t="s">
        <v>1261</v>
      </c>
      <c r="F181" s="37" t="s">
        <v>1262</v>
      </c>
      <c r="G181" s="36">
        <f>VLOOKUP(F181,'[1]Saldos de Cartera'!$E$8:$S$343,15,0)</f>
        <v>5440.82</v>
      </c>
      <c r="H181" s="36" t="s">
        <v>42</v>
      </c>
      <c r="I181" s="38">
        <v>45440</v>
      </c>
      <c r="J181" s="44" t="s">
        <v>2424</v>
      </c>
      <c r="K181" s="36" t="s">
        <v>43</v>
      </c>
      <c r="L181" s="36" t="s">
        <v>1263</v>
      </c>
      <c r="M181" s="36" t="s">
        <v>74</v>
      </c>
      <c r="N181" s="36" t="s">
        <v>141</v>
      </c>
      <c r="O181" s="36" t="s">
        <v>47</v>
      </c>
      <c r="P181" s="42">
        <v>45428</v>
      </c>
      <c r="Q181" s="36" t="s">
        <v>1264</v>
      </c>
      <c r="R181" s="39">
        <v>599184</v>
      </c>
      <c r="S181" s="39" t="s">
        <v>49</v>
      </c>
      <c r="T181" s="36" t="s">
        <v>50</v>
      </c>
      <c r="U181" s="42">
        <v>45716</v>
      </c>
      <c r="V181" s="36" t="s">
        <v>1265</v>
      </c>
      <c r="W181" s="39" t="s">
        <v>52</v>
      </c>
      <c r="X181" s="36" t="s">
        <v>1266</v>
      </c>
      <c r="Y181" s="39" t="s">
        <v>1267</v>
      </c>
      <c r="Z181" s="36" t="s">
        <v>55</v>
      </c>
      <c r="AA181" s="41">
        <v>46197</v>
      </c>
      <c r="AB181" s="39" t="s">
        <v>56</v>
      </c>
      <c r="AC181" s="36" t="s">
        <v>90</v>
      </c>
      <c r="AD181" s="36" t="s">
        <v>69</v>
      </c>
      <c r="AE181" s="39" t="s">
        <v>91</v>
      </c>
      <c r="AF181" s="39" t="s">
        <v>99</v>
      </c>
      <c r="AG181" s="14"/>
      <c r="AH181" s="14"/>
    </row>
    <row r="182" spans="1:34" ht="15" customHeight="1" x14ac:dyDescent="0.2">
      <c r="A182" s="36" t="s">
        <v>1252</v>
      </c>
      <c r="B182" s="36" t="s">
        <v>37</v>
      </c>
      <c r="C182" s="36" t="s">
        <v>197</v>
      </c>
      <c r="D182" s="36" t="s">
        <v>39</v>
      </c>
      <c r="E182" s="36" t="s">
        <v>1268</v>
      </c>
      <c r="F182" s="37" t="s">
        <v>1269</v>
      </c>
      <c r="G182" s="36">
        <f>VLOOKUP(F182,'[1]Saldos de Cartera'!$E$8:$S$343,15,0)</f>
        <v>19780.04</v>
      </c>
      <c r="H182" s="36" t="s">
        <v>42</v>
      </c>
      <c r="I182" s="38">
        <v>45873</v>
      </c>
      <c r="J182" s="44" t="s">
        <v>2425</v>
      </c>
      <c r="K182" s="36" t="s">
        <v>43</v>
      </c>
      <c r="L182" s="36" t="s">
        <v>1270</v>
      </c>
      <c r="M182" s="36" t="s">
        <v>45</v>
      </c>
      <c r="N182" s="36" t="s">
        <v>95</v>
      </c>
      <c r="O182" s="36" t="s">
        <v>96</v>
      </c>
      <c r="P182" s="39"/>
      <c r="Q182" s="39"/>
      <c r="R182" s="39"/>
      <c r="S182" s="36"/>
      <c r="T182" s="36" t="s">
        <v>50</v>
      </c>
      <c r="U182" s="40">
        <v>45869</v>
      </c>
      <c r="V182" s="39" t="s">
        <v>1271</v>
      </c>
      <c r="W182" s="39" t="s">
        <v>52</v>
      </c>
      <c r="X182" s="39" t="s">
        <v>96</v>
      </c>
      <c r="Y182" s="39" t="s">
        <v>1272</v>
      </c>
      <c r="Z182" s="36" t="s">
        <v>96</v>
      </c>
      <c r="AA182" s="42">
        <v>46197</v>
      </c>
      <c r="AB182" s="39" t="s">
        <v>56</v>
      </c>
      <c r="AC182" s="36" t="s">
        <v>68</v>
      </c>
      <c r="AD182" s="36" t="s">
        <v>82</v>
      </c>
      <c r="AE182" s="39" t="s">
        <v>91</v>
      </c>
      <c r="AF182" s="39" t="s">
        <v>99</v>
      </c>
      <c r="AG182" s="14"/>
      <c r="AH182" s="14"/>
    </row>
    <row r="183" spans="1:34" ht="15" customHeight="1" x14ac:dyDescent="0.2">
      <c r="A183" s="36" t="s">
        <v>1252</v>
      </c>
      <c r="B183" s="36" t="s">
        <v>37</v>
      </c>
      <c r="C183" s="36" t="s">
        <v>197</v>
      </c>
      <c r="D183" s="36" t="s">
        <v>39</v>
      </c>
      <c r="E183" s="36" t="s">
        <v>1273</v>
      </c>
      <c r="F183" s="37" t="s">
        <v>1274</v>
      </c>
      <c r="G183" s="36">
        <f>VLOOKUP(F183,'[1]Saldos de Cartera'!$E$8:$S$343,15,0)</f>
        <v>38895.629999999997</v>
      </c>
      <c r="H183" s="36" t="s">
        <v>42</v>
      </c>
      <c r="I183" s="38">
        <v>45427</v>
      </c>
      <c r="J183" s="44" t="s">
        <v>2426</v>
      </c>
      <c r="K183" s="36" t="s">
        <v>43</v>
      </c>
      <c r="L183" s="36" t="s">
        <v>1275</v>
      </c>
      <c r="M183" s="36" t="s">
        <v>74</v>
      </c>
      <c r="N183" s="36" t="s">
        <v>141</v>
      </c>
      <c r="O183" s="36" t="s">
        <v>47</v>
      </c>
      <c r="P183" s="42">
        <v>45420</v>
      </c>
      <c r="Q183" s="36" t="s">
        <v>1276</v>
      </c>
      <c r="R183" s="39">
        <v>93898</v>
      </c>
      <c r="S183" s="36" t="s">
        <v>49</v>
      </c>
      <c r="T183" s="36" t="s">
        <v>50</v>
      </c>
      <c r="U183" s="42">
        <v>46035</v>
      </c>
      <c r="V183" s="36" t="s">
        <v>1277</v>
      </c>
      <c r="W183" s="39" t="s">
        <v>52</v>
      </c>
      <c r="X183" s="36" t="s">
        <v>1278</v>
      </c>
      <c r="Y183" s="39" t="s">
        <v>1279</v>
      </c>
      <c r="Z183" s="36" t="s">
        <v>55</v>
      </c>
      <c r="AA183" s="41">
        <v>46197</v>
      </c>
      <c r="AB183" s="39" t="s">
        <v>56</v>
      </c>
      <c r="AC183" s="36" t="s">
        <v>563</v>
      </c>
      <c r="AD183" s="36" t="s">
        <v>69</v>
      </c>
      <c r="AE183" s="39" t="s">
        <v>59</v>
      </c>
      <c r="AF183" s="39" t="s">
        <v>60</v>
      </c>
      <c r="AG183" s="14"/>
      <c r="AH183" s="14"/>
    </row>
    <row r="184" spans="1:34" ht="15" customHeight="1" x14ac:dyDescent="0.2">
      <c r="A184" s="36" t="s">
        <v>1252</v>
      </c>
      <c r="B184" s="36" t="s">
        <v>37</v>
      </c>
      <c r="C184" s="36" t="s">
        <v>197</v>
      </c>
      <c r="D184" s="36" t="s">
        <v>39</v>
      </c>
      <c r="E184" s="36" t="s">
        <v>1280</v>
      </c>
      <c r="F184" s="37" t="s">
        <v>1281</v>
      </c>
      <c r="G184" s="36">
        <f>VLOOKUP(F184,'[1]Saldos de Cartera'!$E$8:$S$343,15,0)</f>
        <v>476.94</v>
      </c>
      <c r="H184" s="36" t="s">
        <v>42</v>
      </c>
      <c r="I184" s="38">
        <v>45768</v>
      </c>
      <c r="J184" s="44" t="s">
        <v>2427</v>
      </c>
      <c r="K184" s="36" t="s">
        <v>43</v>
      </c>
      <c r="L184" s="36" t="s">
        <v>1282</v>
      </c>
      <c r="M184" s="36" t="s">
        <v>45</v>
      </c>
      <c r="N184" s="36" t="s">
        <v>46</v>
      </c>
      <c r="O184" s="36" t="s">
        <v>47</v>
      </c>
      <c r="P184" s="40">
        <v>45758</v>
      </c>
      <c r="Q184" s="39" t="s">
        <v>1283</v>
      </c>
      <c r="R184" s="39">
        <v>358290</v>
      </c>
      <c r="S184" s="39" t="s">
        <v>49</v>
      </c>
      <c r="T184" s="36" t="s">
        <v>50</v>
      </c>
      <c r="U184" s="40">
        <v>45838</v>
      </c>
      <c r="V184" s="39" t="s">
        <v>1284</v>
      </c>
      <c r="W184" s="39" t="s">
        <v>52</v>
      </c>
      <c r="X184" s="39" t="s">
        <v>1285</v>
      </c>
      <c r="Y184" s="39" t="s">
        <v>1286</v>
      </c>
      <c r="Z184" s="36" t="s">
        <v>55</v>
      </c>
      <c r="AA184" s="41">
        <v>46197</v>
      </c>
      <c r="AB184" s="39" t="s">
        <v>56</v>
      </c>
      <c r="AC184" s="36" t="s">
        <v>1287</v>
      </c>
      <c r="AD184" s="36" t="s">
        <v>69</v>
      </c>
      <c r="AE184" s="39" t="s">
        <v>91</v>
      </c>
      <c r="AF184" s="39" t="s">
        <v>60</v>
      </c>
      <c r="AG184" s="14"/>
      <c r="AH184" s="14"/>
    </row>
    <row r="185" spans="1:34" ht="15" customHeight="1" x14ac:dyDescent="0.2">
      <c r="A185" s="36" t="s">
        <v>1252</v>
      </c>
      <c r="B185" s="36" t="s">
        <v>37</v>
      </c>
      <c r="C185" s="36" t="s">
        <v>197</v>
      </c>
      <c r="D185" s="36" t="s">
        <v>39</v>
      </c>
      <c r="E185" s="36" t="s">
        <v>1288</v>
      </c>
      <c r="F185" s="37" t="s">
        <v>1289</v>
      </c>
      <c r="G185" s="36">
        <f>VLOOKUP(F185,'[1]Saldos de Cartera'!$E$8:$S$343,15,0)</f>
        <v>10777.29</v>
      </c>
      <c r="H185" s="36" t="s">
        <v>42</v>
      </c>
      <c r="I185" s="38">
        <v>45915</v>
      </c>
      <c r="J185" s="44" t="s">
        <v>2428</v>
      </c>
      <c r="K185" s="36" t="s">
        <v>43</v>
      </c>
      <c r="L185" s="36" t="s">
        <v>1290</v>
      </c>
      <c r="M185" s="36" t="s">
        <v>45</v>
      </c>
      <c r="N185" s="36" t="s">
        <v>118</v>
      </c>
      <c r="O185" s="36" t="s">
        <v>47</v>
      </c>
      <c r="P185" s="40">
        <v>45910</v>
      </c>
      <c r="Q185" s="39" t="s">
        <v>1291</v>
      </c>
      <c r="R185" s="39">
        <v>829639</v>
      </c>
      <c r="S185" s="39" t="s">
        <v>49</v>
      </c>
      <c r="T185" s="36" t="s">
        <v>50</v>
      </c>
      <c r="U185" s="43">
        <v>45961</v>
      </c>
      <c r="V185" s="39" t="s">
        <v>1292</v>
      </c>
      <c r="W185" s="39" t="s">
        <v>88</v>
      </c>
      <c r="X185" s="39" t="s">
        <v>1293</v>
      </c>
      <c r="Y185" s="39" t="s">
        <v>1294</v>
      </c>
      <c r="Z185" s="36" t="s">
        <v>55</v>
      </c>
      <c r="AA185" s="43">
        <v>46197</v>
      </c>
      <c r="AB185" s="39" t="s">
        <v>56</v>
      </c>
      <c r="AC185" s="39" t="s">
        <v>68</v>
      </c>
      <c r="AD185" s="39" t="s">
        <v>69</v>
      </c>
      <c r="AE185" s="39" t="s">
        <v>59</v>
      </c>
      <c r="AF185" s="39" t="s">
        <v>99</v>
      </c>
      <c r="AG185" s="14"/>
      <c r="AH185" s="14"/>
    </row>
    <row r="186" spans="1:34" ht="15" customHeight="1" x14ac:dyDescent="0.2">
      <c r="A186" s="36" t="s">
        <v>1252</v>
      </c>
      <c r="B186" s="36" t="s">
        <v>37</v>
      </c>
      <c r="C186" s="36" t="s">
        <v>197</v>
      </c>
      <c r="D186" s="36" t="s">
        <v>39</v>
      </c>
      <c r="E186" s="36" t="s">
        <v>1295</v>
      </c>
      <c r="F186" s="37" t="s">
        <v>1296</v>
      </c>
      <c r="G186" s="36">
        <f>VLOOKUP(F186,'[1]Saldos de Cartera'!$E$8:$S$343,15,0)</f>
        <v>13558.86</v>
      </c>
      <c r="H186" s="36" t="s">
        <v>42</v>
      </c>
      <c r="I186" s="38">
        <v>45458</v>
      </c>
      <c r="J186" s="44" t="s">
        <v>2429</v>
      </c>
      <c r="K186" s="36" t="s">
        <v>43</v>
      </c>
      <c r="L186" s="36" t="s">
        <v>1297</v>
      </c>
      <c r="M186" s="36" t="s">
        <v>74</v>
      </c>
      <c r="N186" s="36" t="s">
        <v>1133</v>
      </c>
      <c r="O186" s="36" t="s">
        <v>47</v>
      </c>
      <c r="P186" s="42">
        <v>45455</v>
      </c>
      <c r="Q186" s="36" t="s">
        <v>1298</v>
      </c>
      <c r="R186" s="39">
        <v>60106</v>
      </c>
      <c r="S186" s="39" t="s">
        <v>49</v>
      </c>
      <c r="T186" s="36" t="s">
        <v>50</v>
      </c>
      <c r="U186" s="42">
        <v>45706</v>
      </c>
      <c r="V186" s="36" t="s">
        <v>1299</v>
      </c>
      <c r="W186" s="39" t="s">
        <v>435</v>
      </c>
      <c r="X186" s="36" t="s">
        <v>1300</v>
      </c>
      <c r="Y186" s="39" t="s">
        <v>1301</v>
      </c>
      <c r="Z186" s="36" t="s">
        <v>55</v>
      </c>
      <c r="AA186" s="41">
        <v>46197</v>
      </c>
      <c r="AB186" s="39" t="s">
        <v>56</v>
      </c>
      <c r="AC186" s="36" t="s">
        <v>1302</v>
      </c>
      <c r="AD186" s="36" t="s">
        <v>69</v>
      </c>
      <c r="AE186" s="39" t="s">
        <v>59</v>
      </c>
      <c r="AF186" s="39" t="s">
        <v>60</v>
      </c>
      <c r="AG186" s="14"/>
      <c r="AH186" s="14"/>
    </row>
    <row r="187" spans="1:34" ht="15" customHeight="1" x14ac:dyDescent="0.2">
      <c r="A187" s="36" t="s">
        <v>1252</v>
      </c>
      <c r="B187" s="36" t="s">
        <v>37</v>
      </c>
      <c r="C187" s="36" t="s">
        <v>197</v>
      </c>
      <c r="D187" s="36" t="s">
        <v>39</v>
      </c>
      <c r="E187" s="36" t="s">
        <v>1303</v>
      </c>
      <c r="F187" s="37" t="s">
        <v>1304</v>
      </c>
      <c r="G187" s="36">
        <f>VLOOKUP(F187,'[1]Saldos de Cartera'!$E$8:$S$343,15,0)</f>
        <v>36324.97</v>
      </c>
      <c r="H187" s="36" t="s">
        <v>42</v>
      </c>
      <c r="I187" s="38">
        <v>45197</v>
      </c>
      <c r="J187" s="44" t="s">
        <v>2430</v>
      </c>
      <c r="K187" s="36" t="s">
        <v>43</v>
      </c>
      <c r="L187" s="36" t="s">
        <v>1305</v>
      </c>
      <c r="M187" s="36" t="s">
        <v>74</v>
      </c>
      <c r="N187" s="36" t="s">
        <v>141</v>
      </c>
      <c r="O187" s="36" t="s">
        <v>47</v>
      </c>
      <c r="P187" s="42">
        <v>45196</v>
      </c>
      <c r="Q187" s="36" t="s">
        <v>1306</v>
      </c>
      <c r="R187" s="39">
        <v>529313</v>
      </c>
      <c r="S187" s="39" t="s">
        <v>49</v>
      </c>
      <c r="T187" s="36" t="s">
        <v>50</v>
      </c>
      <c r="U187" s="41">
        <v>45274</v>
      </c>
      <c r="V187" s="36" t="s">
        <v>1307</v>
      </c>
      <c r="W187" s="39" t="s">
        <v>52</v>
      </c>
      <c r="X187" s="36" t="s">
        <v>1308</v>
      </c>
      <c r="Y187" s="39" t="s">
        <v>1309</v>
      </c>
      <c r="Z187" s="36" t="s">
        <v>55</v>
      </c>
      <c r="AA187" s="41">
        <v>46197</v>
      </c>
      <c r="AB187" s="39" t="s">
        <v>56</v>
      </c>
      <c r="AC187" s="36" t="s">
        <v>1310</v>
      </c>
      <c r="AD187" s="36" t="s">
        <v>58</v>
      </c>
      <c r="AE187" s="39" t="s">
        <v>59</v>
      </c>
      <c r="AF187" s="39" t="s">
        <v>60</v>
      </c>
      <c r="AG187" s="14"/>
      <c r="AH187" s="14"/>
    </row>
    <row r="188" spans="1:34" ht="15" customHeight="1" x14ac:dyDescent="0.2">
      <c r="A188" s="36" t="s">
        <v>1252</v>
      </c>
      <c r="B188" s="36" t="s">
        <v>37</v>
      </c>
      <c r="C188" s="36" t="s">
        <v>197</v>
      </c>
      <c r="D188" s="36" t="s">
        <v>39</v>
      </c>
      <c r="E188" s="36" t="s">
        <v>1312</v>
      </c>
      <c r="F188" s="37" t="s">
        <v>1313</v>
      </c>
      <c r="G188" s="36">
        <f>VLOOKUP(F188,'[1]Saldos de Cartera'!$E$8:$S$343,15,0)</f>
        <v>22316.400000000001</v>
      </c>
      <c r="H188" s="36" t="s">
        <v>42</v>
      </c>
      <c r="I188" s="38">
        <v>45783</v>
      </c>
      <c r="J188" s="44" t="s">
        <v>324</v>
      </c>
      <c r="K188" s="36" t="s">
        <v>43</v>
      </c>
      <c r="L188" s="36" t="s">
        <v>1314</v>
      </c>
      <c r="M188" s="36" t="s">
        <v>45</v>
      </c>
      <c r="N188" s="36" t="s">
        <v>243</v>
      </c>
      <c r="O188" s="36" t="s">
        <v>96</v>
      </c>
      <c r="P188" s="39"/>
      <c r="Q188" s="39"/>
      <c r="R188" s="39"/>
      <c r="S188" s="36"/>
      <c r="T188" s="36" t="s">
        <v>327</v>
      </c>
      <c r="U188" s="40">
        <v>46133</v>
      </c>
      <c r="V188" s="39" t="s">
        <v>1315</v>
      </c>
      <c r="W188" s="39" t="s">
        <v>88</v>
      </c>
      <c r="X188" s="39" t="s">
        <v>1316</v>
      </c>
      <c r="Y188" s="39" t="s">
        <v>1317</v>
      </c>
      <c r="Z188" s="36" t="s">
        <v>55</v>
      </c>
      <c r="AA188" s="41">
        <v>46197</v>
      </c>
      <c r="AB188" s="39" t="s">
        <v>56</v>
      </c>
      <c r="AC188" s="39" t="s">
        <v>1318</v>
      </c>
      <c r="AD188" s="39" t="s">
        <v>58</v>
      </c>
      <c r="AE188" s="39" t="s">
        <v>91</v>
      </c>
      <c r="AF188" s="39" t="s">
        <v>60</v>
      </c>
      <c r="AG188" s="14"/>
      <c r="AH188" s="14"/>
    </row>
    <row r="189" spans="1:34" ht="15" customHeight="1" x14ac:dyDescent="0.2">
      <c r="A189" s="36" t="s">
        <v>1252</v>
      </c>
      <c r="B189" s="36" t="s">
        <v>37</v>
      </c>
      <c r="C189" s="36" t="s">
        <v>197</v>
      </c>
      <c r="D189" s="36" t="s">
        <v>39</v>
      </c>
      <c r="E189" s="36" t="s">
        <v>1312</v>
      </c>
      <c r="F189" s="37" t="s">
        <v>1319</v>
      </c>
      <c r="G189" s="36">
        <f>VLOOKUP(F189,'[1]Saldos de Cartera'!$E$8:$S$343,15,0)</f>
        <v>6640.99</v>
      </c>
      <c r="H189" s="36" t="s">
        <v>42</v>
      </c>
      <c r="I189" s="38">
        <v>46001</v>
      </c>
      <c r="J189" s="44" t="s">
        <v>2431</v>
      </c>
      <c r="K189" s="36" t="s">
        <v>43</v>
      </c>
      <c r="L189" s="36" t="s">
        <v>1320</v>
      </c>
      <c r="M189" s="36" t="s">
        <v>74</v>
      </c>
      <c r="N189" s="36" t="s">
        <v>1321</v>
      </c>
      <c r="O189" s="36" t="s">
        <v>47</v>
      </c>
      <c r="P189" s="43">
        <v>46001</v>
      </c>
      <c r="Q189" s="39" t="s">
        <v>1322</v>
      </c>
      <c r="R189" s="39">
        <v>43641</v>
      </c>
      <c r="S189" s="39" t="s">
        <v>49</v>
      </c>
      <c r="T189" s="36" t="s">
        <v>50</v>
      </c>
      <c r="U189" s="40">
        <v>46155</v>
      </c>
      <c r="V189" s="39" t="s">
        <v>1323</v>
      </c>
      <c r="W189" s="39" t="s">
        <v>52</v>
      </c>
      <c r="X189" s="39" t="s">
        <v>1324</v>
      </c>
      <c r="Y189" s="39" t="s">
        <v>2535</v>
      </c>
      <c r="Z189" s="36" t="s">
        <v>55</v>
      </c>
      <c r="AA189" s="43">
        <v>46188</v>
      </c>
      <c r="AB189" s="39" t="s">
        <v>56</v>
      </c>
      <c r="AC189" s="36" t="s">
        <v>68</v>
      </c>
      <c r="AD189" s="39" t="s">
        <v>69</v>
      </c>
      <c r="AE189" s="39" t="s">
        <v>59</v>
      </c>
      <c r="AF189" s="39" t="s">
        <v>99</v>
      </c>
      <c r="AG189" s="14"/>
      <c r="AH189" s="14"/>
    </row>
    <row r="190" spans="1:34" ht="15" customHeight="1" x14ac:dyDescent="0.2">
      <c r="A190" s="36" t="s">
        <v>1252</v>
      </c>
      <c r="B190" s="36" t="s">
        <v>37</v>
      </c>
      <c r="C190" s="36" t="s">
        <v>197</v>
      </c>
      <c r="D190" s="36" t="s">
        <v>39</v>
      </c>
      <c r="E190" s="36" t="s">
        <v>1325</v>
      </c>
      <c r="F190" s="37" t="s">
        <v>1326</v>
      </c>
      <c r="G190" s="36">
        <f>VLOOKUP(F190,'[1]Saldos de Cartera'!$E$8:$S$343,15,0)</f>
        <v>908.95</v>
      </c>
      <c r="H190" s="36" t="s">
        <v>42</v>
      </c>
      <c r="I190" s="38">
        <v>45493</v>
      </c>
      <c r="J190" s="44" t="s">
        <v>2432</v>
      </c>
      <c r="K190" s="36" t="s">
        <v>43</v>
      </c>
      <c r="L190" s="36" t="s">
        <v>1327</v>
      </c>
      <c r="M190" s="36" t="s">
        <v>74</v>
      </c>
      <c r="N190" s="36" t="s">
        <v>109</v>
      </c>
      <c r="O190" s="36" t="s">
        <v>47</v>
      </c>
      <c r="P190" s="42">
        <v>45491</v>
      </c>
      <c r="Q190" s="36" t="s">
        <v>1328</v>
      </c>
      <c r="R190" s="39">
        <v>671115</v>
      </c>
      <c r="S190" s="39" t="s">
        <v>49</v>
      </c>
      <c r="T190" s="36" t="s">
        <v>50</v>
      </c>
      <c r="U190" s="41">
        <v>45614</v>
      </c>
      <c r="V190" s="36" t="s">
        <v>1329</v>
      </c>
      <c r="W190" s="39" t="s">
        <v>52</v>
      </c>
      <c r="X190" s="36" t="s">
        <v>1330</v>
      </c>
      <c r="Y190" s="39" t="s">
        <v>1331</v>
      </c>
      <c r="Z190" s="36" t="s">
        <v>55</v>
      </c>
      <c r="AA190" s="41">
        <v>46197</v>
      </c>
      <c r="AB190" s="39" t="s">
        <v>56</v>
      </c>
      <c r="AC190" s="36" t="s">
        <v>90</v>
      </c>
      <c r="AD190" s="36" t="s">
        <v>69</v>
      </c>
      <c r="AE190" s="39" t="s">
        <v>91</v>
      </c>
      <c r="AF190" s="39" t="s">
        <v>99</v>
      </c>
      <c r="AG190" s="14"/>
      <c r="AH190" s="14"/>
    </row>
    <row r="191" spans="1:34" ht="15" customHeight="1" x14ac:dyDescent="0.2">
      <c r="A191" s="36" t="s">
        <v>1252</v>
      </c>
      <c r="B191" s="36" t="s">
        <v>37</v>
      </c>
      <c r="C191" s="36" t="s">
        <v>197</v>
      </c>
      <c r="D191" s="36" t="s">
        <v>39</v>
      </c>
      <c r="E191" s="36" t="s">
        <v>1332</v>
      </c>
      <c r="F191" s="37" t="s">
        <v>1333</v>
      </c>
      <c r="G191" s="36">
        <f>VLOOKUP(F191,'[1]Saldos de Cartera'!$E$8:$S$343,15,0)</f>
        <v>19902.68</v>
      </c>
      <c r="H191" s="36" t="s">
        <v>42</v>
      </c>
      <c r="I191" s="38">
        <v>45507</v>
      </c>
      <c r="J191" s="44" t="s">
        <v>2433</v>
      </c>
      <c r="K191" s="36" t="s">
        <v>43</v>
      </c>
      <c r="L191" s="36" t="s">
        <v>1334</v>
      </c>
      <c r="M191" s="36" t="s">
        <v>74</v>
      </c>
      <c r="N191" s="36" t="s">
        <v>1133</v>
      </c>
      <c r="O191" s="36" t="s">
        <v>47</v>
      </c>
      <c r="P191" s="42">
        <v>45503</v>
      </c>
      <c r="Q191" s="36" t="s">
        <v>1335</v>
      </c>
      <c r="R191" s="39">
        <v>493823</v>
      </c>
      <c r="S191" s="39" t="s">
        <v>49</v>
      </c>
      <c r="T191" s="36" t="s">
        <v>50</v>
      </c>
      <c r="U191" s="42">
        <v>46041</v>
      </c>
      <c r="V191" s="36" t="s">
        <v>1336</v>
      </c>
      <c r="W191" s="39" t="s">
        <v>88</v>
      </c>
      <c r="X191" s="36" t="s">
        <v>1337</v>
      </c>
      <c r="Y191" s="39" t="s">
        <v>1338</v>
      </c>
      <c r="Z191" s="36" t="s">
        <v>55</v>
      </c>
      <c r="AA191" s="41">
        <v>46197</v>
      </c>
      <c r="AB191" s="39" t="s">
        <v>56</v>
      </c>
      <c r="AC191" s="36" t="s">
        <v>1339</v>
      </c>
      <c r="AD191" s="36" t="s">
        <v>82</v>
      </c>
      <c r="AE191" s="39" t="s">
        <v>59</v>
      </c>
      <c r="AF191" s="39" t="s">
        <v>60</v>
      </c>
      <c r="AG191" s="14"/>
      <c r="AH191" s="14"/>
    </row>
    <row r="192" spans="1:34" ht="15" customHeight="1" x14ac:dyDescent="0.2">
      <c r="A192" s="36" t="s">
        <v>1252</v>
      </c>
      <c r="B192" s="36" t="s">
        <v>37</v>
      </c>
      <c r="C192" s="36" t="s">
        <v>197</v>
      </c>
      <c r="D192" s="36" t="s">
        <v>39</v>
      </c>
      <c r="E192" s="36" t="s">
        <v>1340</v>
      </c>
      <c r="F192" s="37" t="s">
        <v>1341</v>
      </c>
      <c r="G192" s="36">
        <f>VLOOKUP(F192,'[1]Saldos de Cartera'!$E$8:$S$343,15,0)</f>
        <v>9511.35</v>
      </c>
      <c r="H192" s="36" t="s">
        <v>42</v>
      </c>
      <c r="I192" s="38">
        <v>45951</v>
      </c>
      <c r="J192" s="44" t="s">
        <v>2434</v>
      </c>
      <c r="K192" s="36" t="s">
        <v>43</v>
      </c>
      <c r="L192" s="36" t="s">
        <v>1342</v>
      </c>
      <c r="M192" s="36" t="s">
        <v>45</v>
      </c>
      <c r="N192" s="36" t="s">
        <v>118</v>
      </c>
      <c r="O192" s="36" t="s">
        <v>47</v>
      </c>
      <c r="P192" s="43">
        <v>45951</v>
      </c>
      <c r="Q192" s="39" t="s">
        <v>1343</v>
      </c>
      <c r="R192" s="39">
        <v>948879</v>
      </c>
      <c r="S192" s="36" t="s">
        <v>49</v>
      </c>
      <c r="T192" s="36" t="s">
        <v>50</v>
      </c>
      <c r="U192" s="40">
        <v>46042</v>
      </c>
      <c r="V192" s="39" t="s">
        <v>1344</v>
      </c>
      <c r="W192" s="39" t="s">
        <v>52</v>
      </c>
      <c r="X192" s="39" t="s">
        <v>1345</v>
      </c>
      <c r="Y192" s="39" t="s">
        <v>2536</v>
      </c>
      <c r="Z192" s="36" t="s">
        <v>55</v>
      </c>
      <c r="AA192" s="43">
        <v>46188</v>
      </c>
      <c r="AB192" s="39" t="s">
        <v>56</v>
      </c>
      <c r="AC192" s="36" t="s">
        <v>68</v>
      </c>
      <c r="AD192" s="39" t="s">
        <v>69</v>
      </c>
      <c r="AE192" s="39" t="s">
        <v>59</v>
      </c>
      <c r="AF192" s="39" t="s">
        <v>99</v>
      </c>
      <c r="AG192" s="14"/>
      <c r="AH192" s="14"/>
    </row>
    <row r="193" spans="1:34" ht="15" customHeight="1" x14ac:dyDescent="0.2">
      <c r="A193" s="36" t="s">
        <v>1252</v>
      </c>
      <c r="B193" s="36" t="s">
        <v>37</v>
      </c>
      <c r="C193" s="36" t="s">
        <v>197</v>
      </c>
      <c r="D193" s="36" t="s">
        <v>39</v>
      </c>
      <c r="E193" s="36" t="s">
        <v>1346</v>
      </c>
      <c r="F193" s="37" t="s">
        <v>1347</v>
      </c>
      <c r="G193" s="36">
        <f>VLOOKUP(F193,'[1]Saldos de Cartera'!$E$8:$S$343,15,0)</f>
        <v>47677.26</v>
      </c>
      <c r="H193" s="36" t="s">
        <v>42</v>
      </c>
      <c r="I193" s="38">
        <v>45290</v>
      </c>
      <c r="J193" s="44" t="s">
        <v>2435</v>
      </c>
      <c r="K193" s="36" t="s">
        <v>43</v>
      </c>
      <c r="L193" s="36" t="s">
        <v>1348</v>
      </c>
      <c r="M193" s="36" t="s">
        <v>74</v>
      </c>
      <c r="N193" s="36" t="s">
        <v>406</v>
      </c>
      <c r="O193" s="36" t="s">
        <v>47</v>
      </c>
      <c r="P193" s="41">
        <v>45289</v>
      </c>
      <c r="Q193" s="36" t="s">
        <v>1349</v>
      </c>
      <c r="R193" s="39"/>
      <c r="S193" s="39" t="s">
        <v>49</v>
      </c>
      <c r="T193" s="36" t="s">
        <v>50</v>
      </c>
      <c r="U193" s="42">
        <v>45720</v>
      </c>
      <c r="V193" s="36" t="s">
        <v>1350</v>
      </c>
      <c r="W193" s="39" t="s">
        <v>88</v>
      </c>
      <c r="X193" s="36" t="s">
        <v>1351</v>
      </c>
      <c r="Y193" s="39" t="s">
        <v>1352</v>
      </c>
      <c r="Z193" s="36" t="s">
        <v>55</v>
      </c>
      <c r="AA193" s="41">
        <v>46197</v>
      </c>
      <c r="AB193" s="39" t="s">
        <v>56</v>
      </c>
      <c r="AC193" s="36" t="s">
        <v>1353</v>
      </c>
      <c r="AD193" s="36" t="s">
        <v>58</v>
      </c>
      <c r="AE193" s="39" t="s">
        <v>59</v>
      </c>
      <c r="AF193" s="39" t="s">
        <v>60</v>
      </c>
      <c r="AG193" s="14"/>
      <c r="AH193" s="14"/>
    </row>
    <row r="194" spans="1:34" ht="15" customHeight="1" x14ac:dyDescent="0.2">
      <c r="A194" s="36" t="s">
        <v>1252</v>
      </c>
      <c r="B194" s="36" t="s">
        <v>37</v>
      </c>
      <c r="C194" s="36" t="s">
        <v>197</v>
      </c>
      <c r="D194" s="36" t="s">
        <v>39</v>
      </c>
      <c r="E194" s="36" t="s">
        <v>1355</v>
      </c>
      <c r="F194" s="37" t="s">
        <v>1356</v>
      </c>
      <c r="G194" s="36">
        <f>VLOOKUP(F194,'[1]Saldos de Cartera'!$E$8:$S$343,15,0)</f>
        <v>11750.53</v>
      </c>
      <c r="H194" s="36" t="s">
        <v>42</v>
      </c>
      <c r="I194" s="38">
        <v>45216</v>
      </c>
      <c r="J194" s="44" t="s">
        <v>2436</v>
      </c>
      <c r="K194" s="36" t="s">
        <v>43</v>
      </c>
      <c r="L194" s="36" t="s">
        <v>1357</v>
      </c>
      <c r="M194" s="36" t="s">
        <v>74</v>
      </c>
      <c r="N194" s="36" t="s">
        <v>141</v>
      </c>
      <c r="O194" s="36" t="s">
        <v>47</v>
      </c>
      <c r="P194" s="41">
        <v>45212</v>
      </c>
      <c r="Q194" s="36" t="s">
        <v>1358</v>
      </c>
      <c r="R194" s="39"/>
      <c r="S194" s="39" t="s">
        <v>49</v>
      </c>
      <c r="T194" s="36" t="s">
        <v>50</v>
      </c>
      <c r="U194" s="42">
        <v>45358</v>
      </c>
      <c r="V194" s="36" t="s">
        <v>1359</v>
      </c>
      <c r="W194" s="39" t="s">
        <v>88</v>
      </c>
      <c r="X194" s="36" t="s">
        <v>1360</v>
      </c>
      <c r="Y194" s="39" t="s">
        <v>1361</v>
      </c>
      <c r="Z194" s="36" t="s">
        <v>55</v>
      </c>
      <c r="AA194" s="41">
        <v>46197</v>
      </c>
      <c r="AB194" s="39" t="s">
        <v>56</v>
      </c>
      <c r="AC194" s="36" t="s">
        <v>1362</v>
      </c>
      <c r="AD194" s="36" t="s">
        <v>58</v>
      </c>
      <c r="AE194" s="39" t="s">
        <v>59</v>
      </c>
      <c r="AF194" s="39" t="s">
        <v>60</v>
      </c>
      <c r="AG194" s="14"/>
      <c r="AH194" s="14"/>
    </row>
    <row r="195" spans="1:34" ht="15" customHeight="1" x14ac:dyDescent="0.2">
      <c r="A195" s="36" t="s">
        <v>1252</v>
      </c>
      <c r="B195" s="36" t="s">
        <v>37</v>
      </c>
      <c r="C195" s="36" t="s">
        <v>197</v>
      </c>
      <c r="D195" s="36" t="s">
        <v>39</v>
      </c>
      <c r="E195" s="36" t="s">
        <v>1354</v>
      </c>
      <c r="F195" s="37" t="s">
        <v>1363</v>
      </c>
      <c r="G195" s="36">
        <f>VLOOKUP(F195,'[1]Saldos de Cartera'!$E$8:$S$343,15,0)</f>
        <v>10911.3</v>
      </c>
      <c r="H195" s="36" t="s">
        <v>42</v>
      </c>
      <c r="I195" s="38">
        <v>45245</v>
      </c>
      <c r="J195" s="44" t="s">
        <v>2437</v>
      </c>
      <c r="K195" s="36" t="s">
        <v>43</v>
      </c>
      <c r="L195" s="36" t="s">
        <v>1364</v>
      </c>
      <c r="M195" s="36" t="s">
        <v>74</v>
      </c>
      <c r="N195" s="36" t="s">
        <v>118</v>
      </c>
      <c r="O195" s="36" t="s">
        <v>47</v>
      </c>
      <c r="P195" s="42">
        <v>45929</v>
      </c>
      <c r="Q195" s="36" t="s">
        <v>1365</v>
      </c>
      <c r="R195" s="39">
        <v>320305</v>
      </c>
      <c r="S195" s="39" t="s">
        <v>49</v>
      </c>
      <c r="T195" s="36" t="s">
        <v>50</v>
      </c>
      <c r="U195" s="42">
        <v>46108</v>
      </c>
      <c r="V195" s="36" t="s">
        <v>1366</v>
      </c>
      <c r="W195" s="36" t="s">
        <v>435</v>
      </c>
      <c r="X195" s="36" t="s">
        <v>1367</v>
      </c>
      <c r="Y195" s="39" t="s">
        <v>1368</v>
      </c>
      <c r="Z195" s="36" t="s">
        <v>55</v>
      </c>
      <c r="AA195" s="41">
        <v>46197</v>
      </c>
      <c r="AB195" s="39" t="s">
        <v>56</v>
      </c>
      <c r="AC195" s="36" t="s">
        <v>1369</v>
      </c>
      <c r="AD195" s="36" t="s">
        <v>58</v>
      </c>
      <c r="AE195" s="39" t="s">
        <v>59</v>
      </c>
      <c r="AF195" s="39" t="s">
        <v>60</v>
      </c>
      <c r="AG195" s="14"/>
      <c r="AH195" s="14"/>
    </row>
    <row r="196" spans="1:34" ht="15" customHeight="1" x14ac:dyDescent="0.2">
      <c r="A196" s="36" t="s">
        <v>1252</v>
      </c>
      <c r="B196" s="36" t="s">
        <v>37</v>
      </c>
      <c r="C196" s="36" t="s">
        <v>197</v>
      </c>
      <c r="D196" s="36" t="s">
        <v>39</v>
      </c>
      <c r="E196" s="36" t="s">
        <v>1370</v>
      </c>
      <c r="F196" s="37" t="s">
        <v>1371</v>
      </c>
      <c r="G196" s="36">
        <f>VLOOKUP(F196,'[1]Saldos de Cartera'!$E$8:$S$343,15,0)</f>
        <v>31224.240000000002</v>
      </c>
      <c r="H196" s="36" t="s">
        <v>42</v>
      </c>
      <c r="I196" s="38">
        <v>45817</v>
      </c>
      <c r="J196" s="44" t="s">
        <v>324</v>
      </c>
      <c r="K196" s="36" t="s">
        <v>43</v>
      </c>
      <c r="L196" s="36" t="s">
        <v>1372</v>
      </c>
      <c r="M196" s="36" t="s">
        <v>45</v>
      </c>
      <c r="N196" s="36" t="s">
        <v>505</v>
      </c>
      <c r="O196" s="36" t="s">
        <v>96</v>
      </c>
      <c r="P196" s="39"/>
      <c r="Q196" s="39"/>
      <c r="R196" s="39"/>
      <c r="S196" s="36"/>
      <c r="T196" s="36" t="s">
        <v>327</v>
      </c>
      <c r="U196" s="40">
        <v>45814</v>
      </c>
      <c r="V196" s="39" t="s">
        <v>1373</v>
      </c>
      <c r="W196" s="39" t="s">
        <v>88</v>
      </c>
      <c r="X196" s="39" t="s">
        <v>1374</v>
      </c>
      <c r="Y196" s="39" t="s">
        <v>1375</v>
      </c>
      <c r="Z196" s="36" t="s">
        <v>122</v>
      </c>
      <c r="AA196" s="41">
        <v>46197</v>
      </c>
      <c r="AB196" s="39" t="s">
        <v>56</v>
      </c>
      <c r="AC196" s="39" t="s">
        <v>1376</v>
      </c>
      <c r="AD196" s="39" t="s">
        <v>58</v>
      </c>
      <c r="AE196" s="39" t="s">
        <v>59</v>
      </c>
      <c r="AF196" s="39" t="s">
        <v>60</v>
      </c>
      <c r="AG196" s="14"/>
      <c r="AH196" s="14"/>
    </row>
    <row r="197" spans="1:34" ht="15" customHeight="1" x14ac:dyDescent="0.2">
      <c r="A197" s="36" t="s">
        <v>1252</v>
      </c>
      <c r="B197" s="36" t="s">
        <v>37</v>
      </c>
      <c r="C197" s="36" t="s">
        <v>197</v>
      </c>
      <c r="D197" s="36" t="s">
        <v>39</v>
      </c>
      <c r="E197" s="36" t="s">
        <v>1377</v>
      </c>
      <c r="F197" s="37" t="s">
        <v>1378</v>
      </c>
      <c r="G197" s="36">
        <f>VLOOKUP(F197,'[1]Saldos de Cartera'!$E$8:$S$343,15,0)</f>
        <v>29507.72</v>
      </c>
      <c r="H197" s="36" t="s">
        <v>42</v>
      </c>
      <c r="I197" s="38">
        <v>45427</v>
      </c>
      <c r="J197" s="44" t="s">
        <v>2438</v>
      </c>
      <c r="K197" s="36" t="s">
        <v>43</v>
      </c>
      <c r="L197" s="36" t="s">
        <v>1379</v>
      </c>
      <c r="M197" s="36" t="s">
        <v>74</v>
      </c>
      <c r="N197" s="36" t="s">
        <v>109</v>
      </c>
      <c r="O197" s="36" t="s">
        <v>47</v>
      </c>
      <c r="P197" s="41">
        <v>45274</v>
      </c>
      <c r="Q197" s="36" t="s">
        <v>1380</v>
      </c>
      <c r="R197" s="39">
        <v>652018</v>
      </c>
      <c r="S197" s="39" t="s">
        <v>49</v>
      </c>
      <c r="T197" s="36" t="s">
        <v>50</v>
      </c>
      <c r="U197" s="42">
        <v>45693</v>
      </c>
      <c r="V197" s="36" t="s">
        <v>1381</v>
      </c>
      <c r="W197" s="39" t="s">
        <v>88</v>
      </c>
      <c r="X197" s="36" t="s">
        <v>1382</v>
      </c>
      <c r="Y197" s="39" t="s">
        <v>423</v>
      </c>
      <c r="Z197" s="36" t="s">
        <v>55</v>
      </c>
      <c r="AA197" s="41">
        <v>46197</v>
      </c>
      <c r="AB197" s="39" t="s">
        <v>56</v>
      </c>
      <c r="AC197" s="36" t="s">
        <v>90</v>
      </c>
      <c r="AD197" s="36" t="s">
        <v>69</v>
      </c>
      <c r="AE197" s="39" t="s">
        <v>91</v>
      </c>
      <c r="AF197" s="39" t="s">
        <v>60</v>
      </c>
      <c r="AG197" s="14"/>
      <c r="AH197" s="14"/>
    </row>
    <row r="198" spans="1:34" ht="15" customHeight="1" x14ac:dyDescent="0.2">
      <c r="A198" s="36" t="s">
        <v>1252</v>
      </c>
      <c r="B198" s="36" t="s">
        <v>37</v>
      </c>
      <c r="C198" s="36" t="s">
        <v>197</v>
      </c>
      <c r="D198" s="36" t="s">
        <v>39</v>
      </c>
      <c r="E198" s="36" t="s">
        <v>1383</v>
      </c>
      <c r="F198" s="37" t="s">
        <v>1384</v>
      </c>
      <c r="G198" s="36">
        <f>VLOOKUP(F198,'[1]Saldos de Cartera'!$E$8:$S$343,15,0)</f>
        <v>13686.13</v>
      </c>
      <c r="H198" s="36" t="s">
        <v>42</v>
      </c>
      <c r="I198" s="38">
        <v>45560</v>
      </c>
      <c r="J198" s="44" t="s">
        <v>2439</v>
      </c>
      <c r="K198" s="36" t="s">
        <v>43</v>
      </c>
      <c r="L198" s="36" t="s">
        <v>1385</v>
      </c>
      <c r="M198" s="36" t="s">
        <v>74</v>
      </c>
      <c r="N198" s="36" t="s">
        <v>141</v>
      </c>
      <c r="O198" s="36" t="s">
        <v>47</v>
      </c>
      <c r="P198" s="42">
        <v>45552</v>
      </c>
      <c r="Q198" s="36" t="s">
        <v>1386</v>
      </c>
      <c r="R198" s="39">
        <v>862207</v>
      </c>
      <c r="S198" s="36" t="s">
        <v>66</v>
      </c>
      <c r="T198" s="36"/>
      <c r="U198" s="36"/>
      <c r="V198" s="36"/>
      <c r="W198" s="36"/>
      <c r="X198" s="36" t="s">
        <v>1387</v>
      </c>
      <c r="Y198" s="39"/>
      <c r="Z198" s="36" t="s">
        <v>55</v>
      </c>
      <c r="AA198" s="41">
        <v>46197</v>
      </c>
      <c r="AB198" s="39" t="s">
        <v>56</v>
      </c>
      <c r="AC198" s="36" t="s">
        <v>1388</v>
      </c>
      <c r="AD198" s="36" t="s">
        <v>82</v>
      </c>
      <c r="AE198" s="39" t="s">
        <v>59</v>
      </c>
      <c r="AF198" s="39" t="s">
        <v>60</v>
      </c>
      <c r="AG198" s="14"/>
      <c r="AH198" s="14"/>
    </row>
    <row r="199" spans="1:34" ht="15" customHeight="1" x14ac:dyDescent="0.2">
      <c r="A199" s="36" t="s">
        <v>1252</v>
      </c>
      <c r="B199" s="36" t="s">
        <v>37</v>
      </c>
      <c r="C199" s="36" t="s">
        <v>197</v>
      </c>
      <c r="D199" s="36" t="s">
        <v>39</v>
      </c>
      <c r="E199" s="36" t="s">
        <v>1389</v>
      </c>
      <c r="F199" s="37" t="s">
        <v>1390</v>
      </c>
      <c r="G199" s="36">
        <f>VLOOKUP(F199,'[1]Saldos de Cartera'!$E$8:$S$343,15,0)</f>
        <v>8387.93</v>
      </c>
      <c r="H199" s="36" t="s">
        <v>42</v>
      </c>
      <c r="I199" s="38">
        <v>45051</v>
      </c>
      <c r="J199" s="44" t="s">
        <v>2440</v>
      </c>
      <c r="K199" s="36" t="s">
        <v>43</v>
      </c>
      <c r="L199" s="36" t="s">
        <v>1391</v>
      </c>
      <c r="M199" s="36" t="s">
        <v>74</v>
      </c>
      <c r="N199" s="36" t="s">
        <v>141</v>
      </c>
      <c r="O199" s="36" t="s">
        <v>47</v>
      </c>
      <c r="P199" s="42">
        <v>45050</v>
      </c>
      <c r="Q199" s="36" t="s">
        <v>1392</v>
      </c>
      <c r="R199" s="39">
        <v>887568</v>
      </c>
      <c r="S199" s="39" t="s">
        <v>49</v>
      </c>
      <c r="T199" s="36" t="s">
        <v>50</v>
      </c>
      <c r="U199" s="42">
        <v>45183</v>
      </c>
      <c r="V199" s="36" t="s">
        <v>1393</v>
      </c>
      <c r="W199" s="39" t="s">
        <v>52</v>
      </c>
      <c r="X199" s="36" t="s">
        <v>1394</v>
      </c>
      <c r="Y199" s="39" t="s">
        <v>1395</v>
      </c>
      <c r="Z199" s="36" t="s">
        <v>55</v>
      </c>
      <c r="AA199" s="41">
        <v>46197</v>
      </c>
      <c r="AB199" s="39" t="s">
        <v>56</v>
      </c>
      <c r="AC199" s="36" t="s">
        <v>1396</v>
      </c>
      <c r="AD199" s="36" t="s">
        <v>58</v>
      </c>
      <c r="AE199" s="39" t="s">
        <v>59</v>
      </c>
      <c r="AF199" s="39" t="s">
        <v>60</v>
      </c>
      <c r="AG199" s="14"/>
      <c r="AH199" s="14"/>
    </row>
    <row r="200" spans="1:34" ht="15" customHeight="1" x14ac:dyDescent="0.2">
      <c r="A200" s="36" t="s">
        <v>1252</v>
      </c>
      <c r="B200" s="36" t="s">
        <v>37</v>
      </c>
      <c r="C200" s="36" t="s">
        <v>197</v>
      </c>
      <c r="D200" s="36" t="s">
        <v>39</v>
      </c>
      <c r="E200" s="36" t="s">
        <v>1397</v>
      </c>
      <c r="F200" s="37" t="s">
        <v>1398</v>
      </c>
      <c r="G200" s="36">
        <f>VLOOKUP(F200,'[1]Saldos de Cartera'!$E$8:$S$343,15,0)</f>
        <v>9575.18</v>
      </c>
      <c r="H200" s="36" t="s">
        <v>42</v>
      </c>
      <c r="I200" s="38">
        <v>45484</v>
      </c>
      <c r="J200" s="44" t="s">
        <v>2441</v>
      </c>
      <c r="K200" s="36" t="s">
        <v>43</v>
      </c>
      <c r="L200" s="36" t="s">
        <v>1399</v>
      </c>
      <c r="M200" s="36" t="s">
        <v>74</v>
      </c>
      <c r="N200" s="36" t="s">
        <v>1133</v>
      </c>
      <c r="O200" s="36" t="s">
        <v>47</v>
      </c>
      <c r="P200" s="42">
        <v>45467</v>
      </c>
      <c r="Q200" s="36" t="s">
        <v>1400</v>
      </c>
      <c r="R200" s="39"/>
      <c r="S200" s="39" t="s">
        <v>49</v>
      </c>
      <c r="T200" s="36" t="s">
        <v>50</v>
      </c>
      <c r="U200" s="41">
        <v>45974</v>
      </c>
      <c r="V200" s="36" t="s">
        <v>1401</v>
      </c>
      <c r="W200" s="39" t="s">
        <v>88</v>
      </c>
      <c r="X200" s="36" t="s">
        <v>1402</v>
      </c>
      <c r="Y200" s="39" t="s">
        <v>1403</v>
      </c>
      <c r="Z200" s="36" t="s">
        <v>55</v>
      </c>
      <c r="AA200" s="41">
        <v>46197</v>
      </c>
      <c r="AB200" s="39" t="s">
        <v>56</v>
      </c>
      <c r="AC200" s="36" t="s">
        <v>1404</v>
      </c>
      <c r="AD200" s="36" t="s">
        <v>82</v>
      </c>
      <c r="AE200" s="39" t="s">
        <v>59</v>
      </c>
      <c r="AF200" s="39" t="s">
        <v>60</v>
      </c>
      <c r="AG200" s="14"/>
      <c r="AH200" s="14"/>
    </row>
    <row r="201" spans="1:34" ht="15" customHeight="1" x14ac:dyDescent="0.2">
      <c r="A201" s="36" t="s">
        <v>1252</v>
      </c>
      <c r="B201" s="36" t="s">
        <v>37</v>
      </c>
      <c r="C201" s="36" t="s">
        <v>197</v>
      </c>
      <c r="D201" s="36" t="s">
        <v>39</v>
      </c>
      <c r="E201" s="36" t="s">
        <v>1397</v>
      </c>
      <c r="F201" s="37" t="s">
        <v>1405</v>
      </c>
      <c r="G201" s="36">
        <f>VLOOKUP(F201,'[1]Saldos de Cartera'!$E$8:$S$343,15,0)</f>
        <v>10063.11</v>
      </c>
      <c r="H201" s="36" t="s">
        <v>42</v>
      </c>
      <c r="I201" s="38">
        <v>45475</v>
      </c>
      <c r="J201" s="44" t="s">
        <v>2442</v>
      </c>
      <c r="K201" s="36" t="s">
        <v>43</v>
      </c>
      <c r="L201" s="36" t="s">
        <v>1406</v>
      </c>
      <c r="M201" s="36" t="s">
        <v>74</v>
      </c>
      <c r="N201" s="36" t="s">
        <v>1133</v>
      </c>
      <c r="O201" s="36" t="s">
        <v>47</v>
      </c>
      <c r="P201" s="42">
        <v>45467</v>
      </c>
      <c r="Q201" s="36" t="s">
        <v>1400</v>
      </c>
      <c r="R201" s="39"/>
      <c r="S201" s="39" t="s">
        <v>49</v>
      </c>
      <c r="T201" s="36" t="s">
        <v>50</v>
      </c>
      <c r="U201" s="41">
        <v>45974</v>
      </c>
      <c r="V201" s="36" t="s">
        <v>1401</v>
      </c>
      <c r="W201" s="39" t="s">
        <v>88</v>
      </c>
      <c r="X201" s="36" t="s">
        <v>1402</v>
      </c>
      <c r="Y201" s="39" t="s">
        <v>1403</v>
      </c>
      <c r="Z201" s="36" t="s">
        <v>55</v>
      </c>
      <c r="AA201" s="41">
        <v>46197</v>
      </c>
      <c r="AB201" s="39" t="s">
        <v>56</v>
      </c>
      <c r="AC201" s="36" t="s">
        <v>1404</v>
      </c>
      <c r="AD201" s="36" t="s">
        <v>82</v>
      </c>
      <c r="AE201" s="39" t="s">
        <v>59</v>
      </c>
      <c r="AF201" s="39" t="s">
        <v>60</v>
      </c>
      <c r="AG201" s="14"/>
      <c r="AH201" s="14"/>
    </row>
    <row r="202" spans="1:34" ht="15" customHeight="1" x14ac:dyDescent="0.2">
      <c r="A202" s="36" t="s">
        <v>1252</v>
      </c>
      <c r="B202" s="36" t="s">
        <v>37</v>
      </c>
      <c r="C202" s="36" t="s">
        <v>197</v>
      </c>
      <c r="D202" s="36" t="s">
        <v>39</v>
      </c>
      <c r="E202" s="36" t="s">
        <v>1407</v>
      </c>
      <c r="F202" s="37" t="s">
        <v>1408</v>
      </c>
      <c r="G202" s="36">
        <f>VLOOKUP(F202,'[1]Saldos de Cartera'!$E$8:$S$343,15,0)</f>
        <v>4614.4799999999996</v>
      </c>
      <c r="H202" s="36" t="s">
        <v>42</v>
      </c>
      <c r="I202" s="38">
        <v>45454</v>
      </c>
      <c r="J202" s="44" t="s">
        <v>2443</v>
      </c>
      <c r="K202" s="36" t="s">
        <v>43</v>
      </c>
      <c r="L202" s="36" t="s">
        <v>1409</v>
      </c>
      <c r="M202" s="36" t="s">
        <v>74</v>
      </c>
      <c r="N202" s="36" t="s">
        <v>141</v>
      </c>
      <c r="O202" s="36" t="s">
        <v>47</v>
      </c>
      <c r="P202" s="42">
        <v>45453</v>
      </c>
      <c r="Q202" s="36" t="s">
        <v>1410</v>
      </c>
      <c r="R202" s="39">
        <v>928613</v>
      </c>
      <c r="S202" s="39" t="s">
        <v>49</v>
      </c>
      <c r="T202" s="36" t="s">
        <v>50</v>
      </c>
      <c r="U202" s="42">
        <v>46035</v>
      </c>
      <c r="V202" s="36" t="s">
        <v>1411</v>
      </c>
      <c r="W202" s="39" t="s">
        <v>52</v>
      </c>
      <c r="X202" s="36" t="s">
        <v>1412</v>
      </c>
      <c r="Y202" s="39" t="s">
        <v>2538</v>
      </c>
      <c r="Z202" s="36" t="s">
        <v>55</v>
      </c>
      <c r="AA202" s="41">
        <v>46197</v>
      </c>
      <c r="AB202" s="39" t="s">
        <v>56</v>
      </c>
      <c r="AC202" s="36" t="s">
        <v>1413</v>
      </c>
      <c r="AD202" s="36" t="s">
        <v>82</v>
      </c>
      <c r="AE202" s="39" t="s">
        <v>59</v>
      </c>
      <c r="AF202" s="39" t="s">
        <v>99</v>
      </c>
      <c r="AG202" s="14"/>
      <c r="AH202" s="14"/>
    </row>
    <row r="203" spans="1:34" ht="15" customHeight="1" x14ac:dyDescent="0.2">
      <c r="A203" s="36" t="s">
        <v>1252</v>
      </c>
      <c r="B203" s="36" t="s">
        <v>37</v>
      </c>
      <c r="C203" s="36" t="s">
        <v>197</v>
      </c>
      <c r="D203" s="36" t="s">
        <v>39</v>
      </c>
      <c r="E203" s="36" t="s">
        <v>1414</v>
      </c>
      <c r="F203" s="37" t="s">
        <v>1415</v>
      </c>
      <c r="G203" s="36">
        <f>VLOOKUP(F203,'[1]Saldos de Cartera'!$E$8:$S$343,15,0)</f>
        <v>42866.57</v>
      </c>
      <c r="H203" s="36" t="s">
        <v>42</v>
      </c>
      <c r="I203" s="38">
        <v>45314</v>
      </c>
      <c r="J203" s="44" t="s">
        <v>2444</v>
      </c>
      <c r="K203" s="36" t="s">
        <v>43</v>
      </c>
      <c r="L203" s="36" t="s">
        <v>1416</v>
      </c>
      <c r="M203" s="36" t="s">
        <v>74</v>
      </c>
      <c r="N203" s="36" t="s">
        <v>141</v>
      </c>
      <c r="O203" s="36" t="s">
        <v>47</v>
      </c>
      <c r="P203" s="42">
        <v>45308</v>
      </c>
      <c r="Q203" s="36" t="s">
        <v>1417</v>
      </c>
      <c r="R203" s="39">
        <v>367856</v>
      </c>
      <c r="S203" s="36" t="s">
        <v>66</v>
      </c>
      <c r="T203" s="36"/>
      <c r="U203" s="36"/>
      <c r="V203" s="36"/>
      <c r="W203" s="36"/>
      <c r="X203" s="36" t="s">
        <v>1418</v>
      </c>
      <c r="Y203" s="39"/>
      <c r="Z203" s="36" t="s">
        <v>55</v>
      </c>
      <c r="AA203" s="41">
        <v>46197</v>
      </c>
      <c r="AB203" s="39" t="s">
        <v>56</v>
      </c>
      <c r="AC203" s="36" t="s">
        <v>1419</v>
      </c>
      <c r="AD203" s="36" t="s">
        <v>58</v>
      </c>
      <c r="AE203" s="39" t="s">
        <v>59</v>
      </c>
      <c r="AF203" s="39" t="s">
        <v>60</v>
      </c>
      <c r="AG203" s="14"/>
      <c r="AH203" s="14"/>
    </row>
    <row r="204" spans="1:34" ht="15" customHeight="1" x14ac:dyDescent="0.2">
      <c r="A204" s="36" t="s">
        <v>1252</v>
      </c>
      <c r="B204" s="36" t="s">
        <v>37</v>
      </c>
      <c r="C204" s="36" t="s">
        <v>197</v>
      </c>
      <c r="D204" s="36" t="s">
        <v>39</v>
      </c>
      <c r="E204" s="36" t="s">
        <v>1420</v>
      </c>
      <c r="F204" s="37" t="s">
        <v>1421</v>
      </c>
      <c r="G204" s="36">
        <f>VLOOKUP(F204,'[1]Saldos de Cartera'!$E$8:$S$343,15,0)</f>
        <v>12642.53</v>
      </c>
      <c r="H204" s="36" t="s">
        <v>42</v>
      </c>
      <c r="I204" s="38">
        <v>45719</v>
      </c>
      <c r="J204" s="44" t="s">
        <v>2445</v>
      </c>
      <c r="K204" s="36" t="s">
        <v>43</v>
      </c>
      <c r="L204" s="36" t="s">
        <v>1422</v>
      </c>
      <c r="M204" s="36" t="s">
        <v>74</v>
      </c>
      <c r="N204" s="36" t="s">
        <v>141</v>
      </c>
      <c r="O204" s="36" t="s">
        <v>47</v>
      </c>
      <c r="P204" s="42">
        <v>45716</v>
      </c>
      <c r="Q204" s="36" t="s">
        <v>1423</v>
      </c>
      <c r="R204" s="39">
        <v>810801</v>
      </c>
      <c r="S204" s="39" t="s">
        <v>49</v>
      </c>
      <c r="T204" s="36" t="s">
        <v>50</v>
      </c>
      <c r="U204" s="42">
        <v>45888</v>
      </c>
      <c r="V204" s="36" t="s">
        <v>1424</v>
      </c>
      <c r="W204" s="39" t="s">
        <v>52</v>
      </c>
      <c r="X204" s="36" t="s">
        <v>1425</v>
      </c>
      <c r="Y204" s="39" t="s">
        <v>1426</v>
      </c>
      <c r="Z204" s="36" t="s">
        <v>55</v>
      </c>
      <c r="AA204" s="41">
        <v>46197</v>
      </c>
      <c r="AB204" s="39" t="s">
        <v>56</v>
      </c>
      <c r="AC204" s="36" t="s">
        <v>1427</v>
      </c>
      <c r="AD204" s="36" t="s">
        <v>58</v>
      </c>
      <c r="AE204" s="39" t="s">
        <v>91</v>
      </c>
      <c r="AF204" s="39" t="s">
        <v>99</v>
      </c>
      <c r="AG204" s="14"/>
      <c r="AH204" s="14"/>
    </row>
    <row r="205" spans="1:34" ht="15" customHeight="1" x14ac:dyDescent="0.2">
      <c r="A205" s="36" t="s">
        <v>1252</v>
      </c>
      <c r="B205" s="36" t="s">
        <v>37</v>
      </c>
      <c r="C205" s="36" t="s">
        <v>197</v>
      </c>
      <c r="D205" s="36" t="s">
        <v>39</v>
      </c>
      <c r="E205" s="36" t="s">
        <v>1311</v>
      </c>
      <c r="F205" s="46" t="s">
        <v>1428</v>
      </c>
      <c r="G205" s="36">
        <f>VLOOKUP(F205,'[1]Saldos de Cartera'!$E$8:$S$343,15,0)</f>
        <v>16959.66</v>
      </c>
      <c r="H205" s="36" t="s">
        <v>42</v>
      </c>
      <c r="I205" s="38">
        <v>45216</v>
      </c>
      <c r="J205" s="44" t="s">
        <v>2446</v>
      </c>
      <c r="K205" s="36" t="s">
        <v>43</v>
      </c>
      <c r="L205" s="36" t="s">
        <v>1429</v>
      </c>
      <c r="M205" s="36" t="s">
        <v>74</v>
      </c>
      <c r="N205" s="36" t="s">
        <v>141</v>
      </c>
      <c r="O205" s="36" t="s">
        <v>47</v>
      </c>
      <c r="P205" s="41">
        <v>45210</v>
      </c>
      <c r="Q205" s="36" t="s">
        <v>1430</v>
      </c>
      <c r="R205" s="39">
        <v>920969</v>
      </c>
      <c r="S205" s="39" t="s">
        <v>49</v>
      </c>
      <c r="T205" s="36" t="s">
        <v>50</v>
      </c>
      <c r="U205" s="41">
        <v>45274</v>
      </c>
      <c r="V205" s="36" t="s">
        <v>1431</v>
      </c>
      <c r="W205" s="39" t="s">
        <v>52</v>
      </c>
      <c r="X205" s="36" t="s">
        <v>1308</v>
      </c>
      <c r="Y205" s="39" t="s">
        <v>1432</v>
      </c>
      <c r="Z205" s="36" t="s">
        <v>55</v>
      </c>
      <c r="AA205" s="41">
        <v>46197</v>
      </c>
      <c r="AB205" s="39" t="s">
        <v>56</v>
      </c>
      <c r="AC205" s="36" t="s">
        <v>1310</v>
      </c>
      <c r="AD205" s="36" t="s">
        <v>58</v>
      </c>
      <c r="AE205" s="39" t="s">
        <v>59</v>
      </c>
      <c r="AF205" s="39" t="s">
        <v>60</v>
      </c>
      <c r="AG205" s="14"/>
      <c r="AH205" s="14"/>
    </row>
    <row r="206" spans="1:34" ht="15" customHeight="1" x14ac:dyDescent="0.2">
      <c r="A206" s="36" t="s">
        <v>1252</v>
      </c>
      <c r="B206" s="36" t="s">
        <v>37</v>
      </c>
      <c r="C206" s="36" t="s">
        <v>197</v>
      </c>
      <c r="D206" s="36" t="s">
        <v>39</v>
      </c>
      <c r="E206" s="36" t="s">
        <v>1433</v>
      </c>
      <c r="F206" s="37" t="s">
        <v>1434</v>
      </c>
      <c r="G206" s="36">
        <f>VLOOKUP(F206,'[1]Saldos de Cartera'!$E$8:$S$343,15,0)</f>
        <v>40966.620000000003</v>
      </c>
      <c r="H206" s="36" t="s">
        <v>42</v>
      </c>
      <c r="I206" s="38">
        <v>45951</v>
      </c>
      <c r="J206" s="44" t="s">
        <v>2447</v>
      </c>
      <c r="K206" s="36" t="s">
        <v>43</v>
      </c>
      <c r="L206" s="36" t="s">
        <v>1435</v>
      </c>
      <c r="M206" s="36" t="s">
        <v>45</v>
      </c>
      <c r="N206" s="36" t="s">
        <v>118</v>
      </c>
      <c r="O206" s="36" t="s">
        <v>47</v>
      </c>
      <c r="P206" s="43">
        <v>46197</v>
      </c>
      <c r="Q206" s="39" t="s">
        <v>2539</v>
      </c>
      <c r="R206" s="39">
        <v>232907</v>
      </c>
      <c r="S206" s="39" t="s">
        <v>66</v>
      </c>
      <c r="T206" s="36"/>
      <c r="U206" s="40"/>
      <c r="V206" s="39"/>
      <c r="W206" s="39"/>
      <c r="X206" s="39" t="s">
        <v>1436</v>
      </c>
      <c r="Y206" s="39"/>
      <c r="Z206" s="36" t="s">
        <v>55</v>
      </c>
      <c r="AA206" s="43">
        <v>46197</v>
      </c>
      <c r="AB206" s="39" t="s">
        <v>56</v>
      </c>
      <c r="AC206" s="39" t="s">
        <v>68</v>
      </c>
      <c r="AD206" s="39" t="s">
        <v>69</v>
      </c>
      <c r="AE206" s="39" t="s">
        <v>59</v>
      </c>
      <c r="AF206" s="39" t="s">
        <v>60</v>
      </c>
      <c r="AG206" s="14"/>
      <c r="AH206" s="14"/>
    </row>
    <row r="207" spans="1:34" ht="15" customHeight="1" x14ac:dyDescent="0.2">
      <c r="A207" s="36" t="s">
        <v>1252</v>
      </c>
      <c r="B207" s="36" t="s">
        <v>37</v>
      </c>
      <c r="C207" s="36" t="s">
        <v>197</v>
      </c>
      <c r="D207" s="36" t="s">
        <v>39</v>
      </c>
      <c r="E207" s="36" t="s">
        <v>1437</v>
      </c>
      <c r="F207" s="37" t="s">
        <v>1438</v>
      </c>
      <c r="G207" s="36">
        <f>VLOOKUP(F207,'[1]Saldos de Cartera'!$E$8:$S$343,15,0)</f>
        <v>16828.48</v>
      </c>
      <c r="H207" s="36" t="s">
        <v>42</v>
      </c>
      <c r="I207" s="38">
        <v>45415</v>
      </c>
      <c r="J207" s="44" t="s">
        <v>2448</v>
      </c>
      <c r="K207" s="36" t="s">
        <v>43</v>
      </c>
      <c r="L207" s="36" t="s">
        <v>1439</v>
      </c>
      <c r="M207" s="36" t="s">
        <v>74</v>
      </c>
      <c r="N207" s="36" t="s">
        <v>141</v>
      </c>
      <c r="O207" s="36" t="s">
        <v>47</v>
      </c>
      <c r="P207" s="41">
        <v>46013</v>
      </c>
      <c r="Q207" s="36" t="s">
        <v>1440</v>
      </c>
      <c r="R207" s="39">
        <v>99607</v>
      </c>
      <c r="S207" s="39" t="s">
        <v>49</v>
      </c>
      <c r="T207" s="36" t="s">
        <v>50</v>
      </c>
      <c r="U207" s="42">
        <v>46128</v>
      </c>
      <c r="V207" s="36" t="s">
        <v>1441</v>
      </c>
      <c r="W207" s="39" t="s">
        <v>88</v>
      </c>
      <c r="X207" s="36" t="s">
        <v>1442</v>
      </c>
      <c r="Y207" s="39" t="s">
        <v>1443</v>
      </c>
      <c r="Z207" s="36" t="s">
        <v>55</v>
      </c>
      <c r="AA207" s="41">
        <v>46197</v>
      </c>
      <c r="AB207" s="39" t="s">
        <v>56</v>
      </c>
      <c r="AC207" s="36" t="s">
        <v>1444</v>
      </c>
      <c r="AD207" s="36" t="s">
        <v>69</v>
      </c>
      <c r="AE207" s="39" t="s">
        <v>59</v>
      </c>
      <c r="AF207" s="39" t="s">
        <v>60</v>
      </c>
      <c r="AG207" s="14"/>
      <c r="AH207" s="14"/>
    </row>
    <row r="208" spans="1:34" ht="15" customHeight="1" x14ac:dyDescent="0.2">
      <c r="A208" s="36" t="s">
        <v>1252</v>
      </c>
      <c r="B208" s="36" t="s">
        <v>37</v>
      </c>
      <c r="C208" s="36" t="s">
        <v>197</v>
      </c>
      <c r="D208" s="36" t="s">
        <v>39</v>
      </c>
      <c r="E208" s="36" t="s">
        <v>1445</v>
      </c>
      <c r="F208" s="37" t="s">
        <v>1446</v>
      </c>
      <c r="G208" s="36">
        <f>VLOOKUP(F208,'[1]Saldos de Cartera'!$E$8:$S$343,15,0)</f>
        <v>26197.65</v>
      </c>
      <c r="H208" s="36" t="s">
        <v>42</v>
      </c>
      <c r="I208" s="38">
        <v>45322</v>
      </c>
      <c r="J208" s="44" t="s">
        <v>2449</v>
      </c>
      <c r="K208" s="36" t="s">
        <v>43</v>
      </c>
      <c r="L208" s="36" t="s">
        <v>1447</v>
      </c>
      <c r="M208" s="36" t="s">
        <v>74</v>
      </c>
      <c r="N208" s="36" t="s">
        <v>75</v>
      </c>
      <c r="O208" s="36" t="s">
        <v>47</v>
      </c>
      <c r="P208" s="42">
        <v>45317</v>
      </c>
      <c r="Q208" s="36" t="s">
        <v>1448</v>
      </c>
      <c r="R208" s="39"/>
      <c r="S208" s="39" t="s">
        <v>49</v>
      </c>
      <c r="T208" s="36" t="s">
        <v>50</v>
      </c>
      <c r="U208" s="42">
        <v>45441</v>
      </c>
      <c r="V208" s="36" t="s">
        <v>1449</v>
      </c>
      <c r="W208" s="39" t="s">
        <v>52</v>
      </c>
      <c r="X208" s="36" t="s">
        <v>1450</v>
      </c>
      <c r="Y208" s="39" t="s">
        <v>1451</v>
      </c>
      <c r="Z208" s="36" t="s">
        <v>55</v>
      </c>
      <c r="AA208" s="41">
        <v>46197</v>
      </c>
      <c r="AB208" s="39" t="s">
        <v>56</v>
      </c>
      <c r="AC208" s="36" t="s">
        <v>1452</v>
      </c>
      <c r="AD208" s="36" t="s">
        <v>58</v>
      </c>
      <c r="AE208" s="39" t="s">
        <v>59</v>
      </c>
      <c r="AF208" s="39" t="s">
        <v>60</v>
      </c>
      <c r="AG208" s="14"/>
      <c r="AH208" s="14"/>
    </row>
    <row r="209" spans="1:34" ht="15" customHeight="1" x14ac:dyDescent="0.2">
      <c r="A209" s="36" t="s">
        <v>1252</v>
      </c>
      <c r="B209" s="36" t="s">
        <v>37</v>
      </c>
      <c r="C209" s="36" t="s">
        <v>197</v>
      </c>
      <c r="D209" s="36" t="s">
        <v>39</v>
      </c>
      <c r="E209" s="36" t="s">
        <v>1453</v>
      </c>
      <c r="F209" s="37" t="s">
        <v>1454</v>
      </c>
      <c r="G209" s="36">
        <f>VLOOKUP(F209,'[1]Saldos de Cartera'!$E$8:$S$343,15,0)</f>
        <v>36687.35</v>
      </c>
      <c r="H209" s="36" t="s">
        <v>42</v>
      </c>
      <c r="I209" s="38">
        <v>45973</v>
      </c>
      <c r="J209" s="44" t="s">
        <v>2450</v>
      </c>
      <c r="K209" s="36" t="s">
        <v>43</v>
      </c>
      <c r="L209" s="36" t="s">
        <v>1455</v>
      </c>
      <c r="M209" s="36" t="s">
        <v>45</v>
      </c>
      <c r="N209" s="36" t="s">
        <v>118</v>
      </c>
      <c r="O209" s="36" t="s">
        <v>47</v>
      </c>
      <c r="P209" s="43">
        <v>45973</v>
      </c>
      <c r="Q209" s="39" t="s">
        <v>1456</v>
      </c>
      <c r="R209" s="39">
        <v>690635</v>
      </c>
      <c r="S209" s="39" t="s">
        <v>49</v>
      </c>
      <c r="T209" s="36" t="s">
        <v>50</v>
      </c>
      <c r="U209" s="40">
        <v>46158</v>
      </c>
      <c r="V209" s="39" t="s">
        <v>1457</v>
      </c>
      <c r="W209" s="39" t="s">
        <v>88</v>
      </c>
      <c r="X209" s="39" t="s">
        <v>1458</v>
      </c>
      <c r="Y209" s="39" t="s">
        <v>1459</v>
      </c>
      <c r="Z209" s="39" t="s">
        <v>80</v>
      </c>
      <c r="AA209" s="43">
        <v>46188</v>
      </c>
      <c r="AB209" s="39" t="s">
        <v>56</v>
      </c>
      <c r="AC209" s="36" t="s">
        <v>68</v>
      </c>
      <c r="AD209" s="39" t="s">
        <v>69</v>
      </c>
      <c r="AE209" s="39" t="s">
        <v>59</v>
      </c>
      <c r="AF209" s="39" t="s">
        <v>60</v>
      </c>
      <c r="AG209" s="14"/>
      <c r="AH209" s="14"/>
    </row>
    <row r="210" spans="1:34" ht="15" customHeight="1" x14ac:dyDescent="0.2">
      <c r="A210" s="36" t="s">
        <v>1460</v>
      </c>
      <c r="B210" s="36" t="s">
        <v>37</v>
      </c>
      <c r="C210" s="36" t="s">
        <v>197</v>
      </c>
      <c r="D210" s="36" t="s">
        <v>39</v>
      </c>
      <c r="E210" s="36" t="s">
        <v>1461</v>
      </c>
      <c r="F210" s="37" t="s">
        <v>1462</v>
      </c>
      <c r="G210" s="36">
        <f>VLOOKUP(F210,'[1]Saldos de Cartera'!$E$8:$S$343,15,0)</f>
        <v>21951.75</v>
      </c>
      <c r="H210" s="36" t="s">
        <v>42</v>
      </c>
      <c r="I210" s="38">
        <v>45797</v>
      </c>
      <c r="J210" s="44" t="s">
        <v>324</v>
      </c>
      <c r="K210" s="36" t="s">
        <v>43</v>
      </c>
      <c r="L210" s="36" t="s">
        <v>1463</v>
      </c>
      <c r="M210" s="36" t="s">
        <v>45</v>
      </c>
      <c r="N210" s="36" t="s">
        <v>505</v>
      </c>
      <c r="O210" s="36" t="s">
        <v>96</v>
      </c>
      <c r="P210" s="39"/>
      <c r="Q210" s="39"/>
      <c r="R210" s="39"/>
      <c r="S210" s="36"/>
      <c r="T210" s="36" t="s">
        <v>327</v>
      </c>
      <c r="U210" s="40">
        <v>45797</v>
      </c>
      <c r="V210" s="39" t="s">
        <v>1464</v>
      </c>
      <c r="W210" s="39" t="s">
        <v>52</v>
      </c>
      <c r="X210" s="39" t="s">
        <v>1465</v>
      </c>
      <c r="Y210" s="39" t="s">
        <v>1466</v>
      </c>
      <c r="Z210" s="36" t="s">
        <v>55</v>
      </c>
      <c r="AA210" s="41">
        <v>46199</v>
      </c>
      <c r="AB210" s="39" t="s">
        <v>56</v>
      </c>
      <c r="AC210" s="39" t="s">
        <v>1467</v>
      </c>
      <c r="AD210" s="39" t="s">
        <v>58</v>
      </c>
      <c r="AE210" s="39" t="s">
        <v>59</v>
      </c>
      <c r="AF210" s="39" t="s">
        <v>60</v>
      </c>
      <c r="AG210" s="14"/>
      <c r="AH210" s="14"/>
    </row>
    <row r="211" spans="1:34" ht="15" customHeight="1" x14ac:dyDescent="0.2">
      <c r="A211" s="36" t="s">
        <v>1460</v>
      </c>
      <c r="B211" s="36" t="s">
        <v>37</v>
      </c>
      <c r="C211" s="36" t="s">
        <v>197</v>
      </c>
      <c r="D211" s="36" t="s">
        <v>39</v>
      </c>
      <c r="E211" s="36" t="s">
        <v>1468</v>
      </c>
      <c r="F211" s="37" t="s">
        <v>1469</v>
      </c>
      <c r="G211" s="36">
        <f>VLOOKUP(F211,'[1]Saldos de Cartera'!$E$8:$S$343,15,0)</f>
        <v>20623.560000000001</v>
      </c>
      <c r="H211" s="36" t="s">
        <v>42</v>
      </c>
      <c r="I211" s="38">
        <v>45449</v>
      </c>
      <c r="J211" s="44" t="s">
        <v>2451</v>
      </c>
      <c r="K211" s="36" t="s">
        <v>72</v>
      </c>
      <c r="L211" s="36" t="s">
        <v>1470</v>
      </c>
      <c r="M211" s="36" t="s">
        <v>45</v>
      </c>
      <c r="N211" s="36" t="s">
        <v>201</v>
      </c>
      <c r="O211" s="36" t="s">
        <v>47</v>
      </c>
      <c r="P211" s="42">
        <v>45441</v>
      </c>
      <c r="Q211" s="36" t="s">
        <v>1471</v>
      </c>
      <c r="R211" s="39">
        <v>943524</v>
      </c>
      <c r="S211" s="39" t="s">
        <v>49</v>
      </c>
      <c r="T211" s="36" t="s">
        <v>50</v>
      </c>
      <c r="U211" s="42">
        <v>45539</v>
      </c>
      <c r="V211" s="36" t="s">
        <v>1472</v>
      </c>
      <c r="W211" s="39" t="s">
        <v>52</v>
      </c>
      <c r="X211" s="36" t="s">
        <v>1473</v>
      </c>
      <c r="Y211" s="39" t="s">
        <v>1474</v>
      </c>
      <c r="Z211" s="36" t="s">
        <v>80</v>
      </c>
      <c r="AA211" s="41">
        <v>46185</v>
      </c>
      <c r="AB211" s="39" t="s">
        <v>56</v>
      </c>
      <c r="AC211" s="36" t="s">
        <v>90</v>
      </c>
      <c r="AD211" s="36" t="s">
        <v>82</v>
      </c>
      <c r="AE211" s="39" t="s">
        <v>59</v>
      </c>
      <c r="AF211" s="39" t="s">
        <v>99</v>
      </c>
      <c r="AG211" s="14"/>
      <c r="AH211" s="14"/>
    </row>
    <row r="212" spans="1:34" ht="15" customHeight="1" x14ac:dyDescent="0.2">
      <c r="A212" s="36" t="s">
        <v>1460</v>
      </c>
      <c r="B212" s="36" t="s">
        <v>37</v>
      </c>
      <c r="C212" s="36" t="s">
        <v>197</v>
      </c>
      <c r="D212" s="36" t="s">
        <v>39</v>
      </c>
      <c r="E212" s="36" t="s">
        <v>1475</v>
      </c>
      <c r="F212" s="37" t="s">
        <v>1476</v>
      </c>
      <c r="G212" s="36">
        <f>VLOOKUP(F212,'[1]Saldos de Cartera'!$E$8:$S$343,15,0)</f>
        <v>179136.19</v>
      </c>
      <c r="H212" s="36" t="s">
        <v>42</v>
      </c>
      <c r="I212" s="38">
        <v>45128</v>
      </c>
      <c r="J212" s="44" t="s">
        <v>2452</v>
      </c>
      <c r="K212" s="36" t="s">
        <v>72</v>
      </c>
      <c r="L212" s="36" t="s">
        <v>1477</v>
      </c>
      <c r="M212" s="36" t="s">
        <v>45</v>
      </c>
      <c r="N212" s="36" t="s">
        <v>1478</v>
      </c>
      <c r="O212" s="36" t="s">
        <v>96</v>
      </c>
      <c r="P212" s="36"/>
      <c r="Q212" s="36"/>
      <c r="R212" s="39"/>
      <c r="S212" s="36"/>
      <c r="T212" s="36" t="s">
        <v>50</v>
      </c>
      <c r="U212" s="42">
        <v>45855</v>
      </c>
      <c r="V212" s="36" t="s">
        <v>1479</v>
      </c>
      <c r="W212" s="39" t="s">
        <v>52</v>
      </c>
      <c r="X212" s="39" t="s">
        <v>96</v>
      </c>
      <c r="Y212" s="39" t="s">
        <v>1480</v>
      </c>
      <c r="Z212" s="36" t="s">
        <v>96</v>
      </c>
      <c r="AA212" s="41">
        <v>46185</v>
      </c>
      <c r="AB212" s="39" t="s">
        <v>56</v>
      </c>
      <c r="AC212" s="36" t="s">
        <v>1481</v>
      </c>
      <c r="AD212" s="36" t="s">
        <v>82</v>
      </c>
      <c r="AE212" s="39" t="s">
        <v>59</v>
      </c>
      <c r="AF212" s="39" t="s">
        <v>60</v>
      </c>
      <c r="AG212" s="14"/>
      <c r="AH212" s="14"/>
    </row>
    <row r="213" spans="1:34" ht="15" customHeight="1" x14ac:dyDescent="0.2">
      <c r="A213" s="36" t="s">
        <v>1460</v>
      </c>
      <c r="B213" s="36" t="s">
        <v>37</v>
      </c>
      <c r="C213" s="36" t="s">
        <v>197</v>
      </c>
      <c r="D213" s="36" t="s">
        <v>39</v>
      </c>
      <c r="E213" s="36" t="s">
        <v>1482</v>
      </c>
      <c r="F213" s="37" t="s">
        <v>1483</v>
      </c>
      <c r="G213" s="36">
        <f>VLOOKUP(F213,'[1]Saldos de Cartera'!$E$8:$S$343,15,0)</f>
        <v>36801.07</v>
      </c>
      <c r="H213" s="36" t="s">
        <v>42</v>
      </c>
      <c r="I213" s="38">
        <v>45208</v>
      </c>
      <c r="J213" s="44" t="s">
        <v>324</v>
      </c>
      <c r="K213" s="36" t="s">
        <v>43</v>
      </c>
      <c r="L213" s="36" t="s">
        <v>1484</v>
      </c>
      <c r="M213" s="36" t="s">
        <v>45</v>
      </c>
      <c r="N213" s="36" t="s">
        <v>882</v>
      </c>
      <c r="O213" s="36" t="s">
        <v>96</v>
      </c>
      <c r="P213" s="36"/>
      <c r="Q213" s="36"/>
      <c r="R213" s="39"/>
      <c r="S213" s="36"/>
      <c r="T213" s="36" t="s">
        <v>327</v>
      </c>
      <c r="U213" s="42">
        <v>45203</v>
      </c>
      <c r="V213" s="36" t="s">
        <v>1485</v>
      </c>
      <c r="W213" s="39" t="s">
        <v>52</v>
      </c>
      <c r="X213" s="36" t="s">
        <v>1486</v>
      </c>
      <c r="Y213" s="39" t="s">
        <v>1487</v>
      </c>
      <c r="Z213" s="36" t="s">
        <v>55</v>
      </c>
      <c r="AA213" s="41">
        <v>46185</v>
      </c>
      <c r="AB213" s="39" t="s">
        <v>56</v>
      </c>
      <c r="AC213" s="36" t="s">
        <v>90</v>
      </c>
      <c r="AD213" s="39" t="s">
        <v>58</v>
      </c>
      <c r="AE213" s="39" t="s">
        <v>91</v>
      </c>
      <c r="AF213" s="39" t="s">
        <v>99</v>
      </c>
      <c r="AG213" s="14"/>
      <c r="AH213" s="14"/>
    </row>
    <row r="214" spans="1:34" ht="15" customHeight="1" x14ac:dyDescent="0.2">
      <c r="A214" s="36" t="s">
        <v>1460</v>
      </c>
      <c r="B214" s="36" t="s">
        <v>37</v>
      </c>
      <c r="C214" s="36" t="s">
        <v>197</v>
      </c>
      <c r="D214" s="36" t="s">
        <v>39</v>
      </c>
      <c r="E214" s="36" t="s">
        <v>1488</v>
      </c>
      <c r="F214" s="37" t="s">
        <v>1489</v>
      </c>
      <c r="G214" s="36">
        <f>VLOOKUP(F214,'[1]Saldos de Cartera'!$E$8:$S$343,15,0)</f>
        <v>10949.49</v>
      </c>
      <c r="H214" s="36" t="s">
        <v>42</v>
      </c>
      <c r="I214" s="38">
        <v>45217</v>
      </c>
      <c r="J214" s="44" t="s">
        <v>2453</v>
      </c>
      <c r="K214" s="36" t="s">
        <v>72</v>
      </c>
      <c r="L214" s="36" t="s">
        <v>1490</v>
      </c>
      <c r="M214" s="36" t="s">
        <v>45</v>
      </c>
      <c r="N214" s="36" t="s">
        <v>1491</v>
      </c>
      <c r="O214" s="36" t="s">
        <v>96</v>
      </c>
      <c r="P214" s="36"/>
      <c r="Q214" s="36"/>
      <c r="R214" s="39"/>
      <c r="S214" s="36"/>
      <c r="T214" s="36" t="s">
        <v>50</v>
      </c>
      <c r="U214" s="41">
        <v>45217</v>
      </c>
      <c r="V214" s="36" t="s">
        <v>1492</v>
      </c>
      <c r="W214" s="39" t="s">
        <v>52</v>
      </c>
      <c r="X214" s="39" t="s">
        <v>96</v>
      </c>
      <c r="Y214" s="39" t="s">
        <v>1493</v>
      </c>
      <c r="Z214" s="36" t="s">
        <v>96</v>
      </c>
      <c r="AA214" s="41">
        <v>46185</v>
      </c>
      <c r="AB214" s="39" t="s">
        <v>56</v>
      </c>
      <c r="AC214" s="36" t="s">
        <v>1494</v>
      </c>
      <c r="AD214" s="36" t="s">
        <v>82</v>
      </c>
      <c r="AE214" s="39" t="s">
        <v>59</v>
      </c>
      <c r="AF214" s="39" t="s">
        <v>60</v>
      </c>
      <c r="AG214" s="14"/>
      <c r="AH214" s="14"/>
    </row>
    <row r="215" spans="1:34" ht="15" customHeight="1" x14ac:dyDescent="0.2">
      <c r="A215" s="36" t="s">
        <v>1460</v>
      </c>
      <c r="B215" s="36" t="s">
        <v>37</v>
      </c>
      <c r="C215" s="36" t="s">
        <v>197</v>
      </c>
      <c r="D215" s="36" t="s">
        <v>39</v>
      </c>
      <c r="E215" s="36" t="s">
        <v>1495</v>
      </c>
      <c r="F215" s="37" t="s">
        <v>1496</v>
      </c>
      <c r="G215" s="36">
        <f>VLOOKUP(F215,'[1]Saldos de Cartera'!$E$8:$S$343,15,0)</f>
        <v>21279.82</v>
      </c>
      <c r="H215" s="36" t="s">
        <v>42</v>
      </c>
      <c r="I215" s="38">
        <v>45996</v>
      </c>
      <c r="J215" s="44" t="s">
        <v>2454</v>
      </c>
      <c r="K215" s="36" t="s">
        <v>43</v>
      </c>
      <c r="L215" s="36" t="s">
        <v>1497</v>
      </c>
      <c r="M215" s="36" t="s">
        <v>45</v>
      </c>
      <c r="N215" s="36" t="s">
        <v>141</v>
      </c>
      <c r="O215" s="36" t="s">
        <v>47</v>
      </c>
      <c r="P215" s="40">
        <v>45996</v>
      </c>
      <c r="Q215" s="39" t="s">
        <v>1498</v>
      </c>
      <c r="R215" s="39">
        <v>72871</v>
      </c>
      <c r="S215" s="36" t="s">
        <v>66</v>
      </c>
      <c r="T215" s="39"/>
      <c r="U215" s="39"/>
      <c r="V215" s="39"/>
      <c r="W215" s="39"/>
      <c r="X215" s="39" t="s">
        <v>1499</v>
      </c>
      <c r="Y215" s="39"/>
      <c r="Z215" s="36" t="s">
        <v>55</v>
      </c>
      <c r="AA215" s="43">
        <v>46188</v>
      </c>
      <c r="AB215" s="39" t="s">
        <v>56</v>
      </c>
      <c r="AC215" s="36" t="s">
        <v>68</v>
      </c>
      <c r="AD215" s="39" t="s">
        <v>69</v>
      </c>
      <c r="AE215" s="39" t="s">
        <v>59</v>
      </c>
      <c r="AF215" s="39" t="s">
        <v>60</v>
      </c>
      <c r="AG215" s="14"/>
      <c r="AH215" s="14"/>
    </row>
    <row r="216" spans="1:34" ht="15" customHeight="1" x14ac:dyDescent="0.2">
      <c r="A216" s="36" t="s">
        <v>1460</v>
      </c>
      <c r="B216" s="36" t="s">
        <v>37</v>
      </c>
      <c r="C216" s="36" t="s">
        <v>197</v>
      </c>
      <c r="D216" s="36" t="s">
        <v>39</v>
      </c>
      <c r="E216" s="36" t="s">
        <v>1500</v>
      </c>
      <c r="F216" s="37" t="s">
        <v>1501</v>
      </c>
      <c r="G216" s="36">
        <f>VLOOKUP(F216,'[1]Saldos de Cartera'!$E$8:$S$343,15,0)</f>
        <v>2014.25</v>
      </c>
      <c r="H216" s="36" t="s">
        <v>42</v>
      </c>
      <c r="I216" s="38">
        <v>45068</v>
      </c>
      <c r="J216" s="44" t="s">
        <v>2455</v>
      </c>
      <c r="K216" s="36" t="s">
        <v>43</v>
      </c>
      <c r="L216" s="36" t="s">
        <v>1502</v>
      </c>
      <c r="M216" s="36" t="s">
        <v>45</v>
      </c>
      <c r="N216" s="36" t="s">
        <v>1503</v>
      </c>
      <c r="O216" s="36" t="s">
        <v>47</v>
      </c>
      <c r="P216" s="42">
        <v>45068</v>
      </c>
      <c r="Q216" s="36" t="s">
        <v>1504</v>
      </c>
      <c r="R216" s="39" t="s">
        <v>1505</v>
      </c>
      <c r="S216" s="39" t="s">
        <v>49</v>
      </c>
      <c r="T216" s="36" t="s">
        <v>50</v>
      </c>
      <c r="U216" s="42">
        <v>45328</v>
      </c>
      <c r="V216" s="36" t="s">
        <v>1506</v>
      </c>
      <c r="W216" s="39" t="s">
        <v>52</v>
      </c>
      <c r="X216" s="36" t="s">
        <v>1507</v>
      </c>
      <c r="Y216" s="39" t="s">
        <v>1508</v>
      </c>
      <c r="Z216" s="36" t="s">
        <v>55</v>
      </c>
      <c r="AA216" s="41">
        <v>46185</v>
      </c>
      <c r="AB216" s="39" t="s">
        <v>56</v>
      </c>
      <c r="AC216" s="36" t="s">
        <v>90</v>
      </c>
      <c r="AD216" s="36" t="s">
        <v>69</v>
      </c>
      <c r="AE216" s="39" t="s">
        <v>59</v>
      </c>
      <c r="AF216" s="39" t="s">
        <v>60</v>
      </c>
      <c r="AG216" s="14"/>
      <c r="AH216" s="14"/>
    </row>
    <row r="217" spans="1:34" ht="15" customHeight="1" x14ac:dyDescent="0.2">
      <c r="A217" s="36" t="s">
        <v>1460</v>
      </c>
      <c r="B217" s="36" t="s">
        <v>37</v>
      </c>
      <c r="C217" s="36" t="s">
        <v>197</v>
      </c>
      <c r="D217" s="36" t="s">
        <v>39</v>
      </c>
      <c r="E217" s="36" t="s">
        <v>1509</v>
      </c>
      <c r="F217" s="37" t="s">
        <v>1510</v>
      </c>
      <c r="G217" s="36">
        <f>VLOOKUP(F217,'[1]Saldos de Cartera'!$E$8:$S$343,15,0)</f>
        <v>0</v>
      </c>
      <c r="H217" s="36" t="s">
        <v>42</v>
      </c>
      <c r="I217" s="38">
        <v>45395</v>
      </c>
      <c r="J217" s="44" t="s">
        <v>2456</v>
      </c>
      <c r="K217" s="36" t="s">
        <v>43</v>
      </c>
      <c r="L217" s="36" t="s">
        <v>1511</v>
      </c>
      <c r="M217" s="36" t="s">
        <v>45</v>
      </c>
      <c r="N217" s="36" t="s">
        <v>201</v>
      </c>
      <c r="O217" s="36" t="s">
        <v>47</v>
      </c>
      <c r="P217" s="42">
        <v>45394</v>
      </c>
      <c r="Q217" s="36" t="s">
        <v>1512</v>
      </c>
      <c r="R217" s="39">
        <v>809543</v>
      </c>
      <c r="S217" s="39" t="s">
        <v>49</v>
      </c>
      <c r="T217" s="36" t="s">
        <v>50</v>
      </c>
      <c r="U217" s="42">
        <v>45532</v>
      </c>
      <c r="V217" s="36" t="s">
        <v>1513</v>
      </c>
      <c r="W217" s="39" t="s">
        <v>52</v>
      </c>
      <c r="X217" s="36" t="s">
        <v>1514</v>
      </c>
      <c r="Y217" s="39" t="s">
        <v>1515</v>
      </c>
      <c r="Z217" s="36" t="s">
        <v>55</v>
      </c>
      <c r="AA217" s="41">
        <v>46199</v>
      </c>
      <c r="AB217" s="39" t="s">
        <v>56</v>
      </c>
      <c r="AC217" s="36" t="s">
        <v>90</v>
      </c>
      <c r="AD217" s="36" t="s">
        <v>69</v>
      </c>
      <c r="AE217" s="39" t="s">
        <v>91</v>
      </c>
      <c r="AF217" s="39" t="s">
        <v>99</v>
      </c>
      <c r="AG217" s="14"/>
      <c r="AH217" s="14"/>
    </row>
    <row r="218" spans="1:34" ht="15" customHeight="1" x14ac:dyDescent="0.2">
      <c r="A218" s="36" t="s">
        <v>1460</v>
      </c>
      <c r="B218" s="36" t="s">
        <v>37</v>
      </c>
      <c r="C218" s="36" t="s">
        <v>197</v>
      </c>
      <c r="D218" s="36" t="s">
        <v>39</v>
      </c>
      <c r="E218" s="36" t="s">
        <v>1516</v>
      </c>
      <c r="F218" s="37" t="s">
        <v>1517</v>
      </c>
      <c r="G218" s="36">
        <f>VLOOKUP(F218,'[1]Saldos de Cartera'!$E$8:$S$343,15,0)</f>
        <v>17260.330000000002</v>
      </c>
      <c r="H218" s="36" t="s">
        <v>42</v>
      </c>
      <c r="I218" s="38">
        <v>45903</v>
      </c>
      <c r="J218" s="44" t="s">
        <v>2457</v>
      </c>
      <c r="K218" s="36" t="s">
        <v>43</v>
      </c>
      <c r="L218" s="36" t="s">
        <v>1518</v>
      </c>
      <c r="M218" s="36" t="s">
        <v>45</v>
      </c>
      <c r="N218" s="36" t="s">
        <v>118</v>
      </c>
      <c r="O218" s="36" t="s">
        <v>47</v>
      </c>
      <c r="P218" s="40">
        <v>45901</v>
      </c>
      <c r="Q218" s="39" t="s">
        <v>1519</v>
      </c>
      <c r="R218" s="39">
        <v>3099</v>
      </c>
      <c r="S218" s="39" t="s">
        <v>49</v>
      </c>
      <c r="T218" s="36" t="s">
        <v>50</v>
      </c>
      <c r="U218" s="40">
        <v>45995</v>
      </c>
      <c r="V218" s="39" t="s">
        <v>1520</v>
      </c>
      <c r="W218" s="39" t="s">
        <v>88</v>
      </c>
      <c r="X218" s="39" t="s">
        <v>1521</v>
      </c>
      <c r="Y218" s="39" t="s">
        <v>1522</v>
      </c>
      <c r="Z218" s="36" t="s">
        <v>55</v>
      </c>
      <c r="AA218" s="43">
        <v>46199</v>
      </c>
      <c r="AB218" s="39" t="s">
        <v>56</v>
      </c>
      <c r="AC218" s="39" t="s">
        <v>68</v>
      </c>
      <c r="AD218" s="39" t="s">
        <v>69</v>
      </c>
      <c r="AE218" s="39" t="s">
        <v>59</v>
      </c>
      <c r="AF218" s="39" t="s">
        <v>60</v>
      </c>
      <c r="AG218" s="14"/>
      <c r="AH218" s="14"/>
    </row>
    <row r="219" spans="1:34" ht="15" customHeight="1" x14ac:dyDescent="0.2">
      <c r="A219" s="36" t="s">
        <v>1460</v>
      </c>
      <c r="B219" s="36" t="s">
        <v>37</v>
      </c>
      <c r="C219" s="36" t="s">
        <v>197</v>
      </c>
      <c r="D219" s="36" t="s">
        <v>39</v>
      </c>
      <c r="E219" s="36" t="s">
        <v>1523</v>
      </c>
      <c r="F219" s="37" t="s">
        <v>1524</v>
      </c>
      <c r="G219" s="36">
        <f>VLOOKUP(F219,'[1]Saldos de Cartera'!$E$8:$S$343,15,0)</f>
        <v>8644</v>
      </c>
      <c r="H219" s="36" t="s">
        <v>42</v>
      </c>
      <c r="I219" s="38">
        <v>45777</v>
      </c>
      <c r="J219" s="44" t="s">
        <v>324</v>
      </c>
      <c r="K219" s="36" t="s">
        <v>43</v>
      </c>
      <c r="L219" s="36" t="s">
        <v>1525</v>
      </c>
      <c r="M219" s="36" t="s">
        <v>45</v>
      </c>
      <c r="N219" s="36" t="s">
        <v>406</v>
      </c>
      <c r="O219" s="36" t="s">
        <v>96</v>
      </c>
      <c r="P219" s="39"/>
      <c r="Q219" s="39"/>
      <c r="R219" s="39"/>
      <c r="S219" s="36"/>
      <c r="T219" s="36" t="s">
        <v>327</v>
      </c>
      <c r="U219" s="40">
        <v>45776</v>
      </c>
      <c r="V219" s="39" t="s">
        <v>1526</v>
      </c>
      <c r="W219" s="39" t="s">
        <v>88</v>
      </c>
      <c r="X219" s="39" t="s">
        <v>1527</v>
      </c>
      <c r="Y219" s="39" t="s">
        <v>1528</v>
      </c>
      <c r="Z219" s="36" t="s">
        <v>55</v>
      </c>
      <c r="AA219" s="41">
        <v>46185</v>
      </c>
      <c r="AB219" s="39" t="s">
        <v>56</v>
      </c>
      <c r="AC219" s="36" t="s">
        <v>1529</v>
      </c>
      <c r="AD219" s="39" t="s">
        <v>58</v>
      </c>
      <c r="AE219" s="39" t="s">
        <v>91</v>
      </c>
      <c r="AF219" s="39" t="s">
        <v>99</v>
      </c>
      <c r="AG219" s="14"/>
      <c r="AH219" s="14"/>
    </row>
    <row r="220" spans="1:34" ht="15" customHeight="1" x14ac:dyDescent="0.2">
      <c r="A220" s="36" t="s">
        <v>1460</v>
      </c>
      <c r="B220" s="36" t="s">
        <v>37</v>
      </c>
      <c r="C220" s="36" t="s">
        <v>197</v>
      </c>
      <c r="D220" s="36" t="s">
        <v>39</v>
      </c>
      <c r="E220" s="36" t="s">
        <v>1530</v>
      </c>
      <c r="F220" s="37" t="s">
        <v>1531</v>
      </c>
      <c r="G220" s="36">
        <f>VLOOKUP(F220,'[1]Saldos de Cartera'!$E$8:$S$343,15,0)</f>
        <v>29248.14</v>
      </c>
      <c r="H220" s="36" t="s">
        <v>42</v>
      </c>
      <c r="I220" s="38">
        <v>45789</v>
      </c>
      <c r="J220" s="44" t="s">
        <v>324</v>
      </c>
      <c r="K220" s="36" t="s">
        <v>43</v>
      </c>
      <c r="L220" s="36" t="s">
        <v>1532</v>
      </c>
      <c r="M220" s="36" t="s">
        <v>45</v>
      </c>
      <c r="N220" s="36" t="s">
        <v>278</v>
      </c>
      <c r="O220" s="36" t="s">
        <v>96</v>
      </c>
      <c r="P220" s="39"/>
      <c r="Q220" s="39"/>
      <c r="R220" s="39"/>
      <c r="S220" s="36"/>
      <c r="T220" s="36" t="s">
        <v>327</v>
      </c>
      <c r="U220" s="40">
        <v>45782</v>
      </c>
      <c r="V220" s="39" t="s">
        <v>1533</v>
      </c>
      <c r="W220" s="39" t="s">
        <v>88</v>
      </c>
      <c r="X220" s="39" t="s">
        <v>1534</v>
      </c>
      <c r="Y220" s="39" t="s">
        <v>1535</v>
      </c>
      <c r="Z220" s="36" t="s">
        <v>55</v>
      </c>
      <c r="AA220" s="41">
        <v>46199</v>
      </c>
      <c r="AB220" s="39" t="s">
        <v>56</v>
      </c>
      <c r="AC220" s="39" t="s">
        <v>1536</v>
      </c>
      <c r="AD220" s="39" t="s">
        <v>58</v>
      </c>
      <c r="AE220" s="39" t="s">
        <v>91</v>
      </c>
      <c r="AF220" s="39" t="s">
        <v>99</v>
      </c>
      <c r="AG220" s="14"/>
      <c r="AH220" s="14"/>
    </row>
    <row r="221" spans="1:34" ht="15" customHeight="1" x14ac:dyDescent="0.2">
      <c r="A221" s="36" t="s">
        <v>1460</v>
      </c>
      <c r="B221" s="36" t="s">
        <v>37</v>
      </c>
      <c r="C221" s="36" t="s">
        <v>197</v>
      </c>
      <c r="D221" s="36" t="s">
        <v>39</v>
      </c>
      <c r="E221" s="36" t="s">
        <v>1537</v>
      </c>
      <c r="F221" s="37" t="s">
        <v>1538</v>
      </c>
      <c r="G221" s="36">
        <f>VLOOKUP(F221,'[1]Saldos de Cartera'!$E$8:$S$343,15,0)</f>
        <v>309260.58</v>
      </c>
      <c r="H221" s="36" t="s">
        <v>42</v>
      </c>
      <c r="I221" s="38">
        <v>45224</v>
      </c>
      <c r="J221" s="44" t="s">
        <v>324</v>
      </c>
      <c r="K221" s="36" t="s">
        <v>43</v>
      </c>
      <c r="L221" s="36" t="s">
        <v>1539</v>
      </c>
      <c r="M221" s="36" t="s">
        <v>45</v>
      </c>
      <c r="N221" s="36" t="s">
        <v>64</v>
      </c>
      <c r="O221" s="36" t="s">
        <v>96</v>
      </c>
      <c r="P221" s="36"/>
      <c r="Q221" s="36"/>
      <c r="R221" s="39"/>
      <c r="S221" s="36"/>
      <c r="T221" s="36" t="s">
        <v>327</v>
      </c>
      <c r="U221" s="41">
        <v>45222</v>
      </c>
      <c r="V221" s="36" t="s">
        <v>1540</v>
      </c>
      <c r="W221" s="39" t="s">
        <v>1173</v>
      </c>
      <c r="X221" s="36" t="s">
        <v>1541</v>
      </c>
      <c r="Y221" s="39" t="s">
        <v>1542</v>
      </c>
      <c r="Z221" s="36" t="s">
        <v>55</v>
      </c>
      <c r="AA221" s="41">
        <v>46195</v>
      </c>
      <c r="AB221" s="39" t="s">
        <v>56</v>
      </c>
      <c r="AC221" s="36" t="s">
        <v>1543</v>
      </c>
      <c r="AD221" s="39" t="s">
        <v>58</v>
      </c>
      <c r="AE221" s="39" t="s">
        <v>59</v>
      </c>
      <c r="AF221" s="39" t="s">
        <v>60</v>
      </c>
      <c r="AG221" s="14"/>
      <c r="AH221" s="14"/>
    </row>
    <row r="222" spans="1:34" ht="15" customHeight="1" x14ac:dyDescent="0.2">
      <c r="A222" s="36" t="s">
        <v>1460</v>
      </c>
      <c r="B222" s="36" t="s">
        <v>37</v>
      </c>
      <c r="C222" s="36" t="s">
        <v>197</v>
      </c>
      <c r="D222" s="36" t="s">
        <v>39</v>
      </c>
      <c r="E222" s="36" t="s">
        <v>1544</v>
      </c>
      <c r="F222" s="37" t="s">
        <v>1545</v>
      </c>
      <c r="G222" s="36">
        <f>VLOOKUP(F222,'[1]Saldos de Cartera'!$E$8:$S$343,15,0)</f>
        <v>47934.25</v>
      </c>
      <c r="H222" s="36" t="s">
        <v>42</v>
      </c>
      <c r="I222" s="38">
        <v>45287</v>
      </c>
      <c r="J222" s="44" t="s">
        <v>2458</v>
      </c>
      <c r="K222" s="36" t="s">
        <v>43</v>
      </c>
      <c r="L222" s="36" t="s">
        <v>1546</v>
      </c>
      <c r="M222" s="36" t="s">
        <v>1547</v>
      </c>
      <c r="N222" s="36" t="s">
        <v>1548</v>
      </c>
      <c r="O222" s="36" t="s">
        <v>47</v>
      </c>
      <c r="P222" s="41">
        <v>45287</v>
      </c>
      <c r="Q222" s="36" t="s">
        <v>1549</v>
      </c>
      <c r="R222" s="39" t="s">
        <v>1550</v>
      </c>
      <c r="S222" s="39" t="s">
        <v>49</v>
      </c>
      <c r="T222" s="36" t="s">
        <v>50</v>
      </c>
      <c r="U222" s="42">
        <v>45482</v>
      </c>
      <c r="V222" s="36" t="s">
        <v>1551</v>
      </c>
      <c r="W222" s="39" t="s">
        <v>52</v>
      </c>
      <c r="X222" s="36" t="s">
        <v>1552</v>
      </c>
      <c r="Y222" s="39" t="s">
        <v>1553</v>
      </c>
      <c r="Z222" s="36" t="s">
        <v>55</v>
      </c>
      <c r="AA222" s="41">
        <v>46185</v>
      </c>
      <c r="AB222" s="39" t="s">
        <v>56</v>
      </c>
      <c r="AC222" s="36" t="s">
        <v>90</v>
      </c>
      <c r="AD222" s="36" t="s">
        <v>69</v>
      </c>
      <c r="AE222" s="39" t="s">
        <v>91</v>
      </c>
      <c r="AF222" s="39" t="s">
        <v>99</v>
      </c>
      <c r="AG222" s="14"/>
      <c r="AH222" s="14"/>
    </row>
    <row r="223" spans="1:34" ht="15" customHeight="1" x14ac:dyDescent="0.2">
      <c r="A223" s="36" t="s">
        <v>1460</v>
      </c>
      <c r="B223" s="36" t="s">
        <v>37</v>
      </c>
      <c r="C223" s="36" t="s">
        <v>197</v>
      </c>
      <c r="D223" s="36" t="s">
        <v>39</v>
      </c>
      <c r="E223" s="36" t="s">
        <v>1554</v>
      </c>
      <c r="F223" s="37" t="s">
        <v>1555</v>
      </c>
      <c r="G223" s="36">
        <f>VLOOKUP(F223,'[1]Saldos de Cartera'!$E$8:$S$343,15,0)</f>
        <v>37703.599999999999</v>
      </c>
      <c r="H223" s="36" t="s">
        <v>42</v>
      </c>
      <c r="I223" s="38">
        <v>45320</v>
      </c>
      <c r="J223" s="44" t="s">
        <v>2459</v>
      </c>
      <c r="K223" s="36" t="s">
        <v>72</v>
      </c>
      <c r="L223" s="36" t="s">
        <v>1556</v>
      </c>
      <c r="M223" s="36" t="s">
        <v>873</v>
      </c>
      <c r="N223" s="36" t="s">
        <v>1557</v>
      </c>
      <c r="O223" s="36" t="s">
        <v>96</v>
      </c>
      <c r="P223" s="36"/>
      <c r="Q223" s="36"/>
      <c r="R223" s="39"/>
      <c r="S223" s="36"/>
      <c r="T223" s="36" t="s">
        <v>50</v>
      </c>
      <c r="U223" s="42">
        <v>45315</v>
      </c>
      <c r="V223" s="36" t="s">
        <v>1558</v>
      </c>
      <c r="W223" s="39" t="s">
        <v>52</v>
      </c>
      <c r="X223" s="39" t="s">
        <v>96</v>
      </c>
      <c r="Y223" s="39" t="s">
        <v>1559</v>
      </c>
      <c r="Z223" s="36" t="s">
        <v>96</v>
      </c>
      <c r="AA223" s="41">
        <v>46185</v>
      </c>
      <c r="AB223" s="39" t="s">
        <v>56</v>
      </c>
      <c r="AC223" s="36" t="s">
        <v>1560</v>
      </c>
      <c r="AD223" s="36" t="s">
        <v>69</v>
      </c>
      <c r="AE223" s="39" t="s">
        <v>59</v>
      </c>
      <c r="AF223" s="39" t="s">
        <v>60</v>
      </c>
      <c r="AG223" s="14"/>
      <c r="AH223" s="14"/>
    </row>
    <row r="224" spans="1:34" ht="15" customHeight="1" x14ac:dyDescent="0.2">
      <c r="A224" s="36" t="s">
        <v>1460</v>
      </c>
      <c r="B224" s="36" t="s">
        <v>37</v>
      </c>
      <c r="C224" s="36" t="s">
        <v>197</v>
      </c>
      <c r="D224" s="36" t="s">
        <v>39</v>
      </c>
      <c r="E224" s="36" t="s">
        <v>1561</v>
      </c>
      <c r="F224" s="37" t="s">
        <v>1562</v>
      </c>
      <c r="G224" s="36">
        <f>VLOOKUP(F224,'[1]Saldos de Cartera'!$E$8:$S$343,15,0)</f>
        <v>23804.34</v>
      </c>
      <c r="H224" s="36" t="s">
        <v>42</v>
      </c>
      <c r="I224" s="38">
        <v>45191</v>
      </c>
      <c r="J224" s="44" t="s">
        <v>2460</v>
      </c>
      <c r="K224" s="36" t="s">
        <v>43</v>
      </c>
      <c r="L224" s="36" t="s">
        <v>1563</v>
      </c>
      <c r="M224" s="36" t="s">
        <v>45</v>
      </c>
      <c r="N224" s="36" t="s">
        <v>1564</v>
      </c>
      <c r="O224" s="36" t="s">
        <v>47</v>
      </c>
      <c r="P224" s="42">
        <v>45189</v>
      </c>
      <c r="Q224" s="36" t="s">
        <v>1565</v>
      </c>
      <c r="R224" s="39">
        <v>875139</v>
      </c>
      <c r="S224" s="39" t="s">
        <v>49</v>
      </c>
      <c r="T224" s="36" t="s">
        <v>50</v>
      </c>
      <c r="U224" s="42">
        <v>45393</v>
      </c>
      <c r="V224" s="36" t="s">
        <v>1566</v>
      </c>
      <c r="W224" s="39" t="s">
        <v>52</v>
      </c>
      <c r="X224" s="36" t="s">
        <v>1567</v>
      </c>
      <c r="Y224" s="39" t="s">
        <v>1568</v>
      </c>
      <c r="Z224" s="36" t="s">
        <v>1569</v>
      </c>
      <c r="AA224" s="41">
        <v>46185</v>
      </c>
      <c r="AB224" s="39" t="s">
        <v>56</v>
      </c>
      <c r="AC224" s="36" t="s">
        <v>90</v>
      </c>
      <c r="AD224" s="36" t="s">
        <v>69</v>
      </c>
      <c r="AE224" s="39" t="s">
        <v>91</v>
      </c>
      <c r="AF224" s="39" t="s">
        <v>60</v>
      </c>
      <c r="AG224" s="14"/>
      <c r="AH224" s="14"/>
    </row>
    <row r="225" spans="1:34" ht="15" customHeight="1" x14ac:dyDescent="0.2">
      <c r="A225" s="36" t="s">
        <v>1460</v>
      </c>
      <c r="B225" s="36" t="s">
        <v>37</v>
      </c>
      <c r="C225" s="36" t="s">
        <v>197</v>
      </c>
      <c r="D225" s="36" t="s">
        <v>39</v>
      </c>
      <c r="E225" s="36" t="s">
        <v>1570</v>
      </c>
      <c r="F225" s="37" t="s">
        <v>1571</v>
      </c>
      <c r="G225" s="36">
        <f>VLOOKUP(F225,'[1]Saldos de Cartera'!$E$8:$S$343,15,0)</f>
        <v>25097.91</v>
      </c>
      <c r="H225" s="36" t="s">
        <v>42</v>
      </c>
      <c r="I225" s="38">
        <v>45148</v>
      </c>
      <c r="J225" s="44" t="s">
        <v>2461</v>
      </c>
      <c r="K225" s="36" t="s">
        <v>72</v>
      </c>
      <c r="L225" s="36" t="s">
        <v>1572</v>
      </c>
      <c r="M225" s="36" t="s">
        <v>1547</v>
      </c>
      <c r="N225" s="36" t="s">
        <v>1573</v>
      </c>
      <c r="O225" s="36" t="s">
        <v>47</v>
      </c>
      <c r="P225" s="42">
        <v>45146</v>
      </c>
      <c r="Q225" s="36" t="s">
        <v>1574</v>
      </c>
      <c r="R225" s="39">
        <v>70958</v>
      </c>
      <c r="S225" s="39" t="s">
        <v>49</v>
      </c>
      <c r="T225" s="36" t="s">
        <v>50</v>
      </c>
      <c r="U225" s="42">
        <v>45495</v>
      </c>
      <c r="V225" s="36" t="s">
        <v>1575</v>
      </c>
      <c r="W225" s="39" t="s">
        <v>52</v>
      </c>
      <c r="X225" s="36" t="s">
        <v>1576</v>
      </c>
      <c r="Y225" s="39" t="s">
        <v>1577</v>
      </c>
      <c r="Z225" s="36" t="s">
        <v>80</v>
      </c>
      <c r="AA225" s="41">
        <v>46199</v>
      </c>
      <c r="AB225" s="39" t="s">
        <v>56</v>
      </c>
      <c r="AC225" s="36" t="s">
        <v>1578</v>
      </c>
      <c r="AD225" s="36" t="s">
        <v>82</v>
      </c>
      <c r="AE225" s="39" t="s">
        <v>59</v>
      </c>
      <c r="AF225" s="39" t="s">
        <v>60</v>
      </c>
      <c r="AG225" s="14"/>
      <c r="AH225" s="14"/>
    </row>
    <row r="226" spans="1:34" ht="15" customHeight="1" x14ac:dyDescent="0.2">
      <c r="A226" s="36" t="s">
        <v>1460</v>
      </c>
      <c r="B226" s="36" t="s">
        <v>37</v>
      </c>
      <c r="C226" s="36" t="s">
        <v>197</v>
      </c>
      <c r="D226" s="36" t="s">
        <v>39</v>
      </c>
      <c r="E226" s="36" t="s">
        <v>1579</v>
      </c>
      <c r="F226" s="37" t="s">
        <v>1580</v>
      </c>
      <c r="G226" s="36">
        <f>VLOOKUP(F226,'[1]Saldos de Cartera'!$E$8:$S$343,15,0)</f>
        <v>0</v>
      </c>
      <c r="H226" s="36" t="s">
        <v>42</v>
      </c>
      <c r="I226" s="38">
        <v>45148</v>
      </c>
      <c r="J226" s="44" t="s">
        <v>2462</v>
      </c>
      <c r="K226" s="36" t="s">
        <v>43</v>
      </c>
      <c r="L226" s="36" t="s">
        <v>1581</v>
      </c>
      <c r="M226" s="36" t="s">
        <v>74</v>
      </c>
      <c r="N226" s="36" t="s">
        <v>141</v>
      </c>
      <c r="O226" s="36" t="s">
        <v>47</v>
      </c>
      <c r="P226" s="42">
        <v>45146</v>
      </c>
      <c r="Q226" s="36" t="s">
        <v>1582</v>
      </c>
      <c r="R226" s="39">
        <v>470936</v>
      </c>
      <c r="S226" s="39" t="s">
        <v>49</v>
      </c>
      <c r="T226" s="36" t="s">
        <v>50</v>
      </c>
      <c r="U226" s="41">
        <v>45229</v>
      </c>
      <c r="V226" s="36" t="s">
        <v>1583</v>
      </c>
      <c r="W226" s="39" t="s">
        <v>52</v>
      </c>
      <c r="X226" s="36" t="s">
        <v>1584</v>
      </c>
      <c r="Y226" s="39" t="s">
        <v>1585</v>
      </c>
      <c r="Z226" s="36" t="s">
        <v>55</v>
      </c>
      <c r="AA226" s="41">
        <v>46185</v>
      </c>
      <c r="AB226" s="39" t="s">
        <v>56</v>
      </c>
      <c r="AC226" s="36" t="s">
        <v>90</v>
      </c>
      <c r="AD226" s="36" t="s">
        <v>69</v>
      </c>
      <c r="AE226" s="39" t="s">
        <v>91</v>
      </c>
      <c r="AF226" s="39" t="s">
        <v>99</v>
      </c>
      <c r="AG226" s="14"/>
      <c r="AH226" s="14"/>
    </row>
    <row r="227" spans="1:34" ht="15" customHeight="1" x14ac:dyDescent="0.2">
      <c r="A227" s="36" t="s">
        <v>1460</v>
      </c>
      <c r="B227" s="36" t="s">
        <v>37</v>
      </c>
      <c r="C227" s="36" t="s">
        <v>197</v>
      </c>
      <c r="D227" s="36" t="s">
        <v>39</v>
      </c>
      <c r="E227" s="36" t="s">
        <v>1586</v>
      </c>
      <c r="F227" s="37" t="s">
        <v>1587</v>
      </c>
      <c r="G227" s="36">
        <f>VLOOKUP(F227,'[1]Saldos de Cartera'!$E$8:$S$343,15,0)</f>
        <v>3652.8</v>
      </c>
      <c r="H227" s="36" t="s">
        <v>42</v>
      </c>
      <c r="I227" s="38">
        <v>45653</v>
      </c>
      <c r="J227" s="44" t="s">
        <v>2463</v>
      </c>
      <c r="K227" s="36" t="s">
        <v>43</v>
      </c>
      <c r="L227" s="36" t="s">
        <v>1588</v>
      </c>
      <c r="M227" s="36" t="s">
        <v>45</v>
      </c>
      <c r="N227" s="36" t="s">
        <v>46</v>
      </c>
      <c r="O227" s="36" t="s">
        <v>47</v>
      </c>
      <c r="P227" s="41">
        <v>45652</v>
      </c>
      <c r="Q227" s="36" t="s">
        <v>1589</v>
      </c>
      <c r="R227" s="39">
        <v>445937</v>
      </c>
      <c r="S227" s="39" t="s">
        <v>49</v>
      </c>
      <c r="T227" s="36" t="s">
        <v>50</v>
      </c>
      <c r="U227" s="42">
        <v>45679</v>
      </c>
      <c r="V227" s="36" t="s">
        <v>1590</v>
      </c>
      <c r="W227" s="39" t="s">
        <v>52</v>
      </c>
      <c r="X227" s="36" t="s">
        <v>1591</v>
      </c>
      <c r="Y227" s="39" t="s">
        <v>1592</v>
      </c>
      <c r="Z227" s="36" t="s">
        <v>55</v>
      </c>
      <c r="AA227" s="41">
        <v>46199</v>
      </c>
      <c r="AB227" s="39" t="s">
        <v>56</v>
      </c>
      <c r="AC227" s="36" t="s">
        <v>90</v>
      </c>
      <c r="AD227" s="36" t="s">
        <v>69</v>
      </c>
      <c r="AE227" s="39" t="s">
        <v>91</v>
      </c>
      <c r="AF227" s="39" t="s">
        <v>99</v>
      </c>
      <c r="AG227" s="14"/>
      <c r="AH227" s="14"/>
    </row>
    <row r="228" spans="1:34" ht="15" customHeight="1" x14ac:dyDescent="0.2">
      <c r="A228" s="36" t="s">
        <v>1460</v>
      </c>
      <c r="B228" s="36" t="s">
        <v>37</v>
      </c>
      <c r="C228" s="36" t="s">
        <v>197</v>
      </c>
      <c r="D228" s="36" t="s">
        <v>39</v>
      </c>
      <c r="E228" s="36" t="s">
        <v>1593</v>
      </c>
      <c r="F228" s="37" t="s">
        <v>1594</v>
      </c>
      <c r="G228" s="36">
        <f>VLOOKUP(F228,'[1]Saldos de Cartera'!$E$8:$S$343,15,0)</f>
        <v>10443.379999999999</v>
      </c>
      <c r="H228" s="36" t="s">
        <v>42</v>
      </c>
      <c r="I228" s="38">
        <v>44561</v>
      </c>
      <c r="J228" s="44" t="s">
        <v>2464</v>
      </c>
      <c r="K228" s="36" t="s">
        <v>72</v>
      </c>
      <c r="L228" s="36" t="s">
        <v>1595</v>
      </c>
      <c r="M228" s="36" t="s">
        <v>45</v>
      </c>
      <c r="N228" s="36" t="s">
        <v>1596</v>
      </c>
      <c r="O228" s="36" t="s">
        <v>96</v>
      </c>
      <c r="P228" s="36"/>
      <c r="Q228" s="36"/>
      <c r="R228" s="39"/>
      <c r="S228" s="36"/>
      <c r="T228" s="36" t="s">
        <v>50</v>
      </c>
      <c r="U228" s="42">
        <v>44463</v>
      </c>
      <c r="V228" s="36" t="s">
        <v>1597</v>
      </c>
      <c r="W228" s="39" t="s">
        <v>52</v>
      </c>
      <c r="X228" s="39" t="s">
        <v>96</v>
      </c>
      <c r="Y228" s="39" t="s">
        <v>1598</v>
      </c>
      <c r="Z228" s="36" t="s">
        <v>96</v>
      </c>
      <c r="AA228" s="41">
        <v>46185</v>
      </c>
      <c r="AB228" s="39" t="s">
        <v>56</v>
      </c>
      <c r="AC228" s="36" t="s">
        <v>1599</v>
      </c>
      <c r="AD228" s="36" t="s">
        <v>82</v>
      </c>
      <c r="AE228" s="39" t="s">
        <v>59</v>
      </c>
      <c r="AF228" s="39" t="s">
        <v>60</v>
      </c>
      <c r="AG228" s="14"/>
      <c r="AH228" s="14"/>
    </row>
    <row r="229" spans="1:34" ht="15" customHeight="1" x14ac:dyDescent="0.2">
      <c r="A229" s="36" t="s">
        <v>1460</v>
      </c>
      <c r="B229" s="36" t="s">
        <v>37</v>
      </c>
      <c r="C229" s="36" t="s">
        <v>197</v>
      </c>
      <c r="D229" s="36" t="s">
        <v>39</v>
      </c>
      <c r="E229" s="36" t="s">
        <v>1600</v>
      </c>
      <c r="F229" s="37" t="s">
        <v>1601</v>
      </c>
      <c r="G229" s="36">
        <f>VLOOKUP(F229,'[1]Saldos de Cartera'!$E$8:$S$343,15,0)</f>
        <v>6156.57</v>
      </c>
      <c r="H229" s="36" t="s">
        <v>42</v>
      </c>
      <c r="I229" s="38">
        <v>45217</v>
      </c>
      <c r="J229" s="44" t="s">
        <v>324</v>
      </c>
      <c r="K229" s="36" t="s">
        <v>43</v>
      </c>
      <c r="L229" s="36" t="s">
        <v>1602</v>
      </c>
      <c r="M229" s="36" t="s">
        <v>45</v>
      </c>
      <c r="N229" s="36" t="s">
        <v>326</v>
      </c>
      <c r="O229" s="36" t="s">
        <v>96</v>
      </c>
      <c r="P229" s="36"/>
      <c r="Q229" s="36"/>
      <c r="R229" s="39"/>
      <c r="S229" s="36"/>
      <c r="T229" s="36" t="s">
        <v>327</v>
      </c>
      <c r="U229" s="42">
        <v>45194</v>
      </c>
      <c r="V229" s="36" t="s">
        <v>1603</v>
      </c>
      <c r="W229" s="39" t="s">
        <v>52</v>
      </c>
      <c r="X229" s="36" t="s">
        <v>1604</v>
      </c>
      <c r="Y229" s="39" t="s">
        <v>1605</v>
      </c>
      <c r="Z229" s="36" t="s">
        <v>55</v>
      </c>
      <c r="AA229" s="41">
        <v>46185</v>
      </c>
      <c r="AB229" s="39" t="s">
        <v>56</v>
      </c>
      <c r="AC229" s="36" t="s">
        <v>90</v>
      </c>
      <c r="AD229" s="39" t="s">
        <v>58</v>
      </c>
      <c r="AE229" s="39" t="s">
        <v>59</v>
      </c>
      <c r="AF229" s="39" t="s">
        <v>60</v>
      </c>
      <c r="AG229" s="14"/>
      <c r="AH229" s="14"/>
    </row>
    <row r="230" spans="1:34" ht="15" customHeight="1" x14ac:dyDescent="0.2">
      <c r="A230" s="36" t="s">
        <v>1460</v>
      </c>
      <c r="B230" s="36" t="s">
        <v>37</v>
      </c>
      <c r="C230" s="36" t="s">
        <v>197</v>
      </c>
      <c r="D230" s="36" t="s">
        <v>39</v>
      </c>
      <c r="E230" s="36" t="s">
        <v>1606</v>
      </c>
      <c r="F230" s="37" t="s">
        <v>1607</v>
      </c>
      <c r="G230" s="36">
        <f>VLOOKUP(F230,'[1]Saldos de Cartera'!$E$8:$S$343,15,0)</f>
        <v>30817.19</v>
      </c>
      <c r="H230" s="36" t="s">
        <v>42</v>
      </c>
      <c r="I230" s="38">
        <v>45869</v>
      </c>
      <c r="J230" s="44" t="s">
        <v>2465</v>
      </c>
      <c r="K230" s="36" t="s">
        <v>72</v>
      </c>
      <c r="L230" s="36" t="s">
        <v>1608</v>
      </c>
      <c r="M230" s="36" t="s">
        <v>45</v>
      </c>
      <c r="N230" s="36" t="s">
        <v>201</v>
      </c>
      <c r="O230" s="36" t="s">
        <v>96</v>
      </c>
      <c r="P230" s="39"/>
      <c r="Q230" s="39"/>
      <c r="R230" s="39"/>
      <c r="S230" s="36"/>
      <c r="T230" s="36" t="s">
        <v>50</v>
      </c>
      <c r="U230" s="40">
        <v>45869</v>
      </c>
      <c r="V230" s="39" t="s">
        <v>1609</v>
      </c>
      <c r="W230" s="39" t="s">
        <v>52</v>
      </c>
      <c r="X230" s="39" t="s">
        <v>96</v>
      </c>
      <c r="Y230" s="39" t="s">
        <v>1610</v>
      </c>
      <c r="Z230" s="36" t="s">
        <v>96</v>
      </c>
      <c r="AA230" s="41">
        <v>46185</v>
      </c>
      <c r="AB230" s="39" t="s">
        <v>56</v>
      </c>
      <c r="AC230" s="36" t="s">
        <v>68</v>
      </c>
      <c r="AD230" s="39" t="s">
        <v>82</v>
      </c>
      <c r="AE230" s="39" t="s">
        <v>59</v>
      </c>
      <c r="AF230" s="39" t="s">
        <v>60</v>
      </c>
      <c r="AG230" s="14"/>
      <c r="AH230" s="14"/>
    </row>
    <row r="231" spans="1:34" ht="15" customHeight="1" x14ac:dyDescent="0.2">
      <c r="A231" s="36" t="s">
        <v>1460</v>
      </c>
      <c r="B231" s="36" t="s">
        <v>37</v>
      </c>
      <c r="C231" s="36" t="s">
        <v>197</v>
      </c>
      <c r="D231" s="36" t="s">
        <v>39</v>
      </c>
      <c r="E231" s="36" t="s">
        <v>1611</v>
      </c>
      <c r="F231" s="37" t="s">
        <v>1612</v>
      </c>
      <c r="G231" s="36">
        <f>VLOOKUP(F231,'[1]Saldos de Cartera'!$E$8:$S$343,15,0)</f>
        <v>194654.64</v>
      </c>
      <c r="H231" s="36" t="s">
        <v>42</v>
      </c>
      <c r="I231" s="38">
        <v>45073</v>
      </c>
      <c r="J231" s="44" t="s">
        <v>2466</v>
      </c>
      <c r="K231" s="36" t="s">
        <v>72</v>
      </c>
      <c r="L231" s="36" t="s">
        <v>1613</v>
      </c>
      <c r="M231" s="36" t="s">
        <v>873</v>
      </c>
      <c r="N231" s="36" t="s">
        <v>1614</v>
      </c>
      <c r="O231" s="36" t="s">
        <v>96</v>
      </c>
      <c r="P231" s="36"/>
      <c r="Q231" s="36"/>
      <c r="R231" s="39"/>
      <c r="S231" s="36"/>
      <c r="T231" s="36" t="s">
        <v>50</v>
      </c>
      <c r="U231" s="42">
        <v>45069</v>
      </c>
      <c r="V231" s="36" t="s">
        <v>1615</v>
      </c>
      <c r="W231" s="39" t="s">
        <v>52</v>
      </c>
      <c r="X231" s="39" t="s">
        <v>96</v>
      </c>
      <c r="Y231" s="39" t="s">
        <v>1616</v>
      </c>
      <c r="Z231" s="36" t="s">
        <v>96</v>
      </c>
      <c r="AA231" s="41">
        <v>46185</v>
      </c>
      <c r="AB231" s="39" t="s">
        <v>56</v>
      </c>
      <c r="AC231" s="36" t="s">
        <v>1617</v>
      </c>
      <c r="AD231" s="36" t="s">
        <v>82</v>
      </c>
      <c r="AE231" s="39" t="s">
        <v>59</v>
      </c>
      <c r="AF231" s="39" t="s">
        <v>60</v>
      </c>
      <c r="AG231" s="14"/>
      <c r="AH231" s="14"/>
    </row>
    <row r="232" spans="1:34" ht="15" customHeight="1" x14ac:dyDescent="0.2">
      <c r="A232" s="36" t="s">
        <v>1460</v>
      </c>
      <c r="B232" s="36" t="s">
        <v>37</v>
      </c>
      <c r="C232" s="36" t="s">
        <v>197</v>
      </c>
      <c r="D232" s="36" t="s">
        <v>39</v>
      </c>
      <c r="E232" s="36" t="s">
        <v>1618</v>
      </c>
      <c r="F232" s="37" t="s">
        <v>1619</v>
      </c>
      <c r="G232" s="36">
        <f>VLOOKUP(F232,'[1]Saldos de Cartera'!$E$8:$S$343,15,0)</f>
        <v>75158.48</v>
      </c>
      <c r="H232" s="36" t="s">
        <v>42</v>
      </c>
      <c r="I232" s="38">
        <v>45580</v>
      </c>
      <c r="J232" s="44" t="s">
        <v>2467</v>
      </c>
      <c r="K232" s="36" t="s">
        <v>43</v>
      </c>
      <c r="L232" s="36" t="s">
        <v>1620</v>
      </c>
      <c r="M232" s="36" t="s">
        <v>45</v>
      </c>
      <c r="N232" s="36" t="s">
        <v>1478</v>
      </c>
      <c r="O232" s="36" t="s">
        <v>47</v>
      </c>
      <c r="P232" s="42">
        <v>45495</v>
      </c>
      <c r="Q232" s="36" t="s">
        <v>1621</v>
      </c>
      <c r="R232" s="39">
        <v>296864</v>
      </c>
      <c r="S232" s="39" t="s">
        <v>49</v>
      </c>
      <c r="T232" s="36" t="s">
        <v>50</v>
      </c>
      <c r="U232" s="42">
        <v>45545</v>
      </c>
      <c r="V232" s="36" t="s">
        <v>1622</v>
      </c>
      <c r="W232" s="39" t="s">
        <v>52</v>
      </c>
      <c r="X232" s="36" t="s">
        <v>1623</v>
      </c>
      <c r="Y232" s="39" t="s">
        <v>1624</v>
      </c>
      <c r="Z232" s="36" t="s">
        <v>55</v>
      </c>
      <c r="AA232" s="41">
        <v>46199</v>
      </c>
      <c r="AB232" s="39" t="s">
        <v>56</v>
      </c>
      <c r="AC232" s="36" t="s">
        <v>90</v>
      </c>
      <c r="AD232" s="36" t="s">
        <v>69</v>
      </c>
      <c r="AE232" s="39" t="s">
        <v>91</v>
      </c>
      <c r="AF232" s="39" t="s">
        <v>99</v>
      </c>
      <c r="AG232" s="14"/>
      <c r="AH232" s="14"/>
    </row>
    <row r="233" spans="1:34" ht="15" customHeight="1" x14ac:dyDescent="0.2">
      <c r="A233" s="36" t="s">
        <v>1460</v>
      </c>
      <c r="B233" s="36" t="s">
        <v>37</v>
      </c>
      <c r="C233" s="36" t="s">
        <v>197</v>
      </c>
      <c r="D233" s="36" t="s">
        <v>39</v>
      </c>
      <c r="E233" s="36" t="s">
        <v>1625</v>
      </c>
      <c r="F233" s="37" t="s">
        <v>1626</v>
      </c>
      <c r="G233" s="36">
        <f>VLOOKUP(F233,'[1]Saldos de Cartera'!$E$8:$S$343,15,0)</f>
        <v>13440.25</v>
      </c>
      <c r="H233" s="36" t="s">
        <v>42</v>
      </c>
      <c r="I233" s="38">
        <v>45653</v>
      </c>
      <c r="J233" s="44" t="s">
        <v>2468</v>
      </c>
      <c r="K233" s="36" t="s">
        <v>43</v>
      </c>
      <c r="L233" s="36" t="s">
        <v>1627</v>
      </c>
      <c r="M233" s="36" t="s">
        <v>45</v>
      </c>
      <c r="N233" s="36" t="s">
        <v>201</v>
      </c>
      <c r="O233" s="36" t="s">
        <v>96</v>
      </c>
      <c r="P233" s="36"/>
      <c r="Q233" s="36"/>
      <c r="R233" s="39"/>
      <c r="S233" s="36"/>
      <c r="T233" s="36" t="s">
        <v>50</v>
      </c>
      <c r="U233" s="41">
        <v>45653</v>
      </c>
      <c r="V233" s="36" t="s">
        <v>1628</v>
      </c>
      <c r="W233" s="39" t="s">
        <v>88</v>
      </c>
      <c r="X233" s="39" t="s">
        <v>96</v>
      </c>
      <c r="Y233" s="39" t="s">
        <v>788</v>
      </c>
      <c r="Z233" s="36" t="s">
        <v>96</v>
      </c>
      <c r="AA233" s="41">
        <v>46197</v>
      </c>
      <c r="AB233" s="39" t="s">
        <v>56</v>
      </c>
      <c r="AC233" s="36" t="s">
        <v>90</v>
      </c>
      <c r="AD233" s="36" t="s">
        <v>82</v>
      </c>
      <c r="AE233" s="39" t="s">
        <v>91</v>
      </c>
      <c r="AF233" s="39" t="s">
        <v>99</v>
      </c>
      <c r="AG233" s="14"/>
      <c r="AH233" s="14"/>
    </row>
    <row r="234" spans="1:34" ht="15" customHeight="1" x14ac:dyDescent="0.2">
      <c r="A234" s="36" t="s">
        <v>1460</v>
      </c>
      <c r="B234" s="36" t="s">
        <v>37</v>
      </c>
      <c r="C234" s="36" t="s">
        <v>197</v>
      </c>
      <c r="D234" s="36" t="s">
        <v>39</v>
      </c>
      <c r="E234" s="36" t="s">
        <v>1629</v>
      </c>
      <c r="F234" s="37" t="s">
        <v>1630</v>
      </c>
      <c r="G234" s="36">
        <f>VLOOKUP(F234,'[1]Saldos de Cartera'!$E$8:$S$343,15,0)</f>
        <v>58430.6</v>
      </c>
      <c r="H234" s="36" t="s">
        <v>42</v>
      </c>
      <c r="I234" s="38">
        <v>45714</v>
      </c>
      <c r="J234" s="44" t="s">
        <v>2469</v>
      </c>
      <c r="K234" s="36" t="s">
        <v>72</v>
      </c>
      <c r="L234" s="36" t="s">
        <v>1631</v>
      </c>
      <c r="M234" s="36" t="s">
        <v>45</v>
      </c>
      <c r="N234" s="36" t="s">
        <v>326</v>
      </c>
      <c r="O234" s="36" t="s">
        <v>96</v>
      </c>
      <c r="P234" s="36"/>
      <c r="Q234" s="36"/>
      <c r="R234" s="39"/>
      <c r="S234" s="36"/>
      <c r="T234" s="36" t="s">
        <v>50</v>
      </c>
      <c r="U234" s="42">
        <v>45700</v>
      </c>
      <c r="V234" s="36" t="s">
        <v>1632</v>
      </c>
      <c r="W234" s="39" t="s">
        <v>52</v>
      </c>
      <c r="X234" s="39" t="s">
        <v>96</v>
      </c>
      <c r="Y234" s="39" t="s">
        <v>1633</v>
      </c>
      <c r="Z234" s="36" t="s">
        <v>96</v>
      </c>
      <c r="AA234" s="41">
        <v>46185</v>
      </c>
      <c r="AB234" s="39" t="s">
        <v>56</v>
      </c>
      <c r="AC234" s="36" t="s">
        <v>1634</v>
      </c>
      <c r="AD234" s="36" t="s">
        <v>82</v>
      </c>
      <c r="AE234" s="39" t="s">
        <v>59</v>
      </c>
      <c r="AF234" s="39" t="s">
        <v>60</v>
      </c>
      <c r="AG234" s="14"/>
      <c r="AH234" s="14"/>
    </row>
    <row r="235" spans="1:34" ht="15" customHeight="1" x14ac:dyDescent="0.2">
      <c r="A235" s="36" t="s">
        <v>1460</v>
      </c>
      <c r="B235" s="36" t="s">
        <v>37</v>
      </c>
      <c r="C235" s="36" t="s">
        <v>197</v>
      </c>
      <c r="D235" s="36" t="s">
        <v>39</v>
      </c>
      <c r="E235" s="36" t="s">
        <v>1635</v>
      </c>
      <c r="F235" s="37" t="s">
        <v>1636</v>
      </c>
      <c r="G235" s="36">
        <f>VLOOKUP(F235,'[1]Saldos de Cartera'!$E$8:$S$343,15,0)</f>
        <v>11528.58</v>
      </c>
      <c r="H235" s="36" t="s">
        <v>42</v>
      </c>
      <c r="I235" s="38">
        <v>45925</v>
      </c>
      <c r="J235" s="44" t="s">
        <v>2470</v>
      </c>
      <c r="K235" s="36" t="s">
        <v>43</v>
      </c>
      <c r="L235" s="36" t="s">
        <v>1637</v>
      </c>
      <c r="M235" s="36" t="s">
        <v>45</v>
      </c>
      <c r="N235" s="36" t="s">
        <v>201</v>
      </c>
      <c r="O235" s="36" t="s">
        <v>96</v>
      </c>
      <c r="P235" s="39"/>
      <c r="Q235" s="39"/>
      <c r="R235" s="39"/>
      <c r="S235" s="36"/>
      <c r="T235" s="36" t="s">
        <v>50</v>
      </c>
      <c r="U235" s="40">
        <v>45925</v>
      </c>
      <c r="V235" s="39" t="s">
        <v>1638</v>
      </c>
      <c r="W235" s="39" t="s">
        <v>88</v>
      </c>
      <c r="X235" s="39" t="s">
        <v>96</v>
      </c>
      <c r="Y235" s="39" t="s">
        <v>1639</v>
      </c>
      <c r="Z235" s="39" t="s">
        <v>96</v>
      </c>
      <c r="AA235" s="43">
        <v>46199</v>
      </c>
      <c r="AB235" s="39" t="s">
        <v>56</v>
      </c>
      <c r="AC235" s="39" t="s">
        <v>68</v>
      </c>
      <c r="AD235" s="36" t="s">
        <v>82</v>
      </c>
      <c r="AE235" s="39" t="s">
        <v>91</v>
      </c>
      <c r="AF235" s="39" t="s">
        <v>99</v>
      </c>
      <c r="AG235" s="14"/>
      <c r="AH235" s="14"/>
    </row>
    <row r="236" spans="1:34" ht="15" customHeight="1" x14ac:dyDescent="0.2">
      <c r="A236" s="36" t="s">
        <v>1460</v>
      </c>
      <c r="B236" s="36" t="s">
        <v>37</v>
      </c>
      <c r="C236" s="36" t="s">
        <v>197</v>
      </c>
      <c r="D236" s="36" t="s">
        <v>39</v>
      </c>
      <c r="E236" s="36" t="s">
        <v>1640</v>
      </c>
      <c r="F236" s="37" t="s">
        <v>1641</v>
      </c>
      <c r="G236" s="36">
        <f>VLOOKUP(F236,'[1]Saldos de Cartera'!$E$8:$S$343,15,0)</f>
        <v>39071.89</v>
      </c>
      <c r="H236" s="36" t="s">
        <v>42</v>
      </c>
      <c r="I236" s="38">
        <v>45430</v>
      </c>
      <c r="J236" s="44" t="s">
        <v>324</v>
      </c>
      <c r="K236" s="36" t="s">
        <v>43</v>
      </c>
      <c r="L236" s="36" t="s">
        <v>1642</v>
      </c>
      <c r="M236" s="36" t="s">
        <v>45</v>
      </c>
      <c r="N236" s="36" t="s">
        <v>505</v>
      </c>
      <c r="O236" s="36" t="s">
        <v>96</v>
      </c>
      <c r="P236" s="36"/>
      <c r="Q236" s="36"/>
      <c r="R236" s="39"/>
      <c r="S236" s="36"/>
      <c r="T236" s="36" t="s">
        <v>327</v>
      </c>
      <c r="U236" s="42">
        <v>45422</v>
      </c>
      <c r="V236" s="36" t="s">
        <v>1643</v>
      </c>
      <c r="W236" s="39" t="s">
        <v>1644</v>
      </c>
      <c r="X236" s="39" t="s">
        <v>1645</v>
      </c>
      <c r="Y236" s="39" t="s">
        <v>1646</v>
      </c>
      <c r="Z236" s="36" t="s">
        <v>55</v>
      </c>
      <c r="AA236" s="41">
        <v>46185</v>
      </c>
      <c r="AB236" s="39" t="s">
        <v>56</v>
      </c>
      <c r="AC236" s="36" t="s">
        <v>1647</v>
      </c>
      <c r="AD236" s="39" t="s">
        <v>58</v>
      </c>
      <c r="AE236" s="39" t="s">
        <v>59</v>
      </c>
      <c r="AF236" s="39" t="s">
        <v>60</v>
      </c>
      <c r="AG236" s="14"/>
      <c r="AH236" s="14"/>
    </row>
    <row r="237" spans="1:34" ht="15" customHeight="1" x14ac:dyDescent="0.2">
      <c r="A237" s="36" t="s">
        <v>1460</v>
      </c>
      <c r="B237" s="36" t="s">
        <v>37</v>
      </c>
      <c r="C237" s="36" t="s">
        <v>197</v>
      </c>
      <c r="D237" s="36" t="s">
        <v>39</v>
      </c>
      <c r="E237" s="36" t="s">
        <v>1648</v>
      </c>
      <c r="F237" s="37" t="s">
        <v>1649</v>
      </c>
      <c r="G237" s="36">
        <f>VLOOKUP(F237,'[1]Saldos de Cartera'!$E$8:$S$343,15,0)</f>
        <v>29188.16</v>
      </c>
      <c r="H237" s="36" t="s">
        <v>42</v>
      </c>
      <c r="I237" s="38">
        <v>45626</v>
      </c>
      <c r="J237" s="44" t="s">
        <v>2471</v>
      </c>
      <c r="K237" s="36" t="s">
        <v>72</v>
      </c>
      <c r="L237" s="36" t="s">
        <v>1650</v>
      </c>
      <c r="M237" s="36" t="s">
        <v>45</v>
      </c>
      <c r="N237" s="36" t="s">
        <v>221</v>
      </c>
      <c r="O237" s="36" t="s">
        <v>96</v>
      </c>
      <c r="P237" s="36"/>
      <c r="Q237" s="36"/>
      <c r="R237" s="39"/>
      <c r="S237" s="36"/>
      <c r="T237" s="36" t="s">
        <v>50</v>
      </c>
      <c r="U237" s="41">
        <v>45624</v>
      </c>
      <c r="V237" s="36" t="s">
        <v>1651</v>
      </c>
      <c r="W237" s="39" t="s">
        <v>52</v>
      </c>
      <c r="X237" s="39" t="s">
        <v>96</v>
      </c>
      <c r="Y237" s="39" t="s">
        <v>1652</v>
      </c>
      <c r="Z237" s="36" t="s">
        <v>96</v>
      </c>
      <c r="AA237" s="41">
        <v>46185</v>
      </c>
      <c r="AB237" s="39" t="s">
        <v>56</v>
      </c>
      <c r="AC237" s="36" t="s">
        <v>1653</v>
      </c>
      <c r="AD237" s="36" t="s">
        <v>82</v>
      </c>
      <c r="AE237" s="39" t="s">
        <v>59</v>
      </c>
      <c r="AF237" s="39" t="s">
        <v>60</v>
      </c>
      <c r="AG237" s="14"/>
      <c r="AH237" s="14"/>
    </row>
    <row r="238" spans="1:34" ht="15" customHeight="1" x14ac:dyDescent="0.2">
      <c r="A238" s="36" t="s">
        <v>1460</v>
      </c>
      <c r="B238" s="36" t="s">
        <v>37</v>
      </c>
      <c r="C238" s="36" t="s">
        <v>197</v>
      </c>
      <c r="D238" s="36" t="s">
        <v>39</v>
      </c>
      <c r="E238" s="36" t="s">
        <v>1654</v>
      </c>
      <c r="F238" s="37" t="s">
        <v>1655</v>
      </c>
      <c r="G238" s="36">
        <f>VLOOKUP(F238,'[1]Saldos de Cartera'!$E$8:$S$343,15,0)</f>
        <v>24767.52</v>
      </c>
      <c r="H238" s="36" t="s">
        <v>42</v>
      </c>
      <c r="I238" s="38">
        <v>45688</v>
      </c>
      <c r="J238" s="44" t="s">
        <v>2472</v>
      </c>
      <c r="K238" s="36" t="s">
        <v>72</v>
      </c>
      <c r="L238" s="36" t="s">
        <v>1656</v>
      </c>
      <c r="M238" s="36" t="s">
        <v>45</v>
      </c>
      <c r="N238" s="36" t="s">
        <v>406</v>
      </c>
      <c r="O238" s="36" t="s">
        <v>96</v>
      </c>
      <c r="P238" s="36"/>
      <c r="Q238" s="36"/>
      <c r="R238" s="39"/>
      <c r="S238" s="36"/>
      <c r="T238" s="36" t="s">
        <v>50</v>
      </c>
      <c r="U238" s="42">
        <v>45688</v>
      </c>
      <c r="V238" s="36" t="s">
        <v>1657</v>
      </c>
      <c r="W238" s="39" t="s">
        <v>52</v>
      </c>
      <c r="X238" s="39" t="s">
        <v>96</v>
      </c>
      <c r="Y238" s="39" t="s">
        <v>1658</v>
      </c>
      <c r="Z238" s="36" t="s">
        <v>96</v>
      </c>
      <c r="AA238" s="41">
        <v>46185</v>
      </c>
      <c r="AB238" s="39" t="s">
        <v>56</v>
      </c>
      <c r="AC238" s="36" t="s">
        <v>1659</v>
      </c>
      <c r="AD238" s="36" t="s">
        <v>82</v>
      </c>
      <c r="AE238" s="39" t="s">
        <v>59</v>
      </c>
      <c r="AF238" s="39" t="s">
        <v>60</v>
      </c>
      <c r="AG238" s="14"/>
      <c r="AH238" s="14"/>
    </row>
    <row r="239" spans="1:34" ht="15" customHeight="1" x14ac:dyDescent="0.2">
      <c r="A239" s="36" t="s">
        <v>1460</v>
      </c>
      <c r="B239" s="36" t="s">
        <v>37</v>
      </c>
      <c r="C239" s="36" t="s">
        <v>197</v>
      </c>
      <c r="D239" s="36" t="s">
        <v>39</v>
      </c>
      <c r="E239" s="36" t="s">
        <v>1660</v>
      </c>
      <c r="F239" s="37" t="s">
        <v>1661</v>
      </c>
      <c r="G239" s="36">
        <f>VLOOKUP(F239,'[1]Saldos de Cartera'!$E$8:$S$343,15,0)</f>
        <v>120000</v>
      </c>
      <c r="H239" s="36" t="s">
        <v>42</v>
      </c>
      <c r="I239" s="38">
        <v>45714</v>
      </c>
      <c r="J239" s="44" t="s">
        <v>2473</v>
      </c>
      <c r="K239" s="36" t="s">
        <v>72</v>
      </c>
      <c r="L239" s="36" t="s">
        <v>1662</v>
      </c>
      <c r="M239" s="36" t="s">
        <v>45</v>
      </c>
      <c r="N239" s="36" t="s">
        <v>278</v>
      </c>
      <c r="O239" s="36" t="s">
        <v>96</v>
      </c>
      <c r="P239" s="36"/>
      <c r="Q239" s="36"/>
      <c r="R239" s="39"/>
      <c r="S239" s="36"/>
      <c r="T239" s="36" t="s">
        <v>50</v>
      </c>
      <c r="U239" s="42">
        <v>45700</v>
      </c>
      <c r="V239" s="36" t="s">
        <v>1663</v>
      </c>
      <c r="W239" s="39" t="s">
        <v>52</v>
      </c>
      <c r="X239" s="39" t="s">
        <v>96</v>
      </c>
      <c r="Y239" s="39" t="s">
        <v>1664</v>
      </c>
      <c r="Z239" s="36" t="s">
        <v>96</v>
      </c>
      <c r="AA239" s="41">
        <v>46185</v>
      </c>
      <c r="AB239" s="39" t="s">
        <v>56</v>
      </c>
      <c r="AC239" s="36" t="s">
        <v>1665</v>
      </c>
      <c r="AD239" s="36" t="s">
        <v>82</v>
      </c>
      <c r="AE239" s="39" t="s">
        <v>59</v>
      </c>
      <c r="AF239" s="39" t="s">
        <v>60</v>
      </c>
      <c r="AG239" s="14"/>
      <c r="AH239" s="14"/>
    </row>
    <row r="240" spans="1:34" ht="15" customHeight="1" x14ac:dyDescent="0.2">
      <c r="A240" s="36" t="s">
        <v>1460</v>
      </c>
      <c r="B240" s="36" t="s">
        <v>37</v>
      </c>
      <c r="C240" s="36" t="s">
        <v>197</v>
      </c>
      <c r="D240" s="36" t="s">
        <v>39</v>
      </c>
      <c r="E240" s="36" t="s">
        <v>1666</v>
      </c>
      <c r="F240" s="37" t="s">
        <v>1667</v>
      </c>
      <c r="G240" s="36">
        <f>VLOOKUP(F240,'[1]Saldos de Cartera'!$E$8:$S$343,15,0)</f>
        <v>119112.55</v>
      </c>
      <c r="H240" s="36" t="s">
        <v>42</v>
      </c>
      <c r="I240" s="38">
        <v>45247</v>
      </c>
      <c r="J240" s="44" t="s">
        <v>2474</v>
      </c>
      <c r="K240" s="36" t="s">
        <v>72</v>
      </c>
      <c r="L240" s="36" t="s">
        <v>1668</v>
      </c>
      <c r="M240" s="36" t="s">
        <v>74</v>
      </c>
      <c r="N240" s="36" t="s">
        <v>109</v>
      </c>
      <c r="O240" s="36" t="s">
        <v>96</v>
      </c>
      <c r="P240" s="36"/>
      <c r="Q240" s="36"/>
      <c r="R240" s="39"/>
      <c r="S240" s="36"/>
      <c r="T240" s="36" t="s">
        <v>50</v>
      </c>
      <c r="U240" s="41">
        <v>45247</v>
      </c>
      <c r="V240" s="36" t="s">
        <v>1669</v>
      </c>
      <c r="W240" s="39" t="s">
        <v>52</v>
      </c>
      <c r="X240" s="39" t="s">
        <v>96</v>
      </c>
      <c r="Y240" s="39" t="s">
        <v>1670</v>
      </c>
      <c r="Z240" s="36" t="s">
        <v>96</v>
      </c>
      <c r="AA240" s="41">
        <v>46185</v>
      </c>
      <c r="AB240" s="39" t="s">
        <v>56</v>
      </c>
      <c r="AC240" s="36" t="s">
        <v>1671</v>
      </c>
      <c r="AD240" s="36" t="s">
        <v>82</v>
      </c>
      <c r="AE240" s="39" t="s">
        <v>59</v>
      </c>
      <c r="AF240" s="39" t="s">
        <v>60</v>
      </c>
      <c r="AG240" s="14"/>
      <c r="AH240" s="14"/>
    </row>
    <row r="241" spans="1:34" ht="15" customHeight="1" x14ac:dyDescent="0.2">
      <c r="A241" s="36" t="s">
        <v>1460</v>
      </c>
      <c r="B241" s="36" t="s">
        <v>37</v>
      </c>
      <c r="C241" s="36" t="s">
        <v>197</v>
      </c>
      <c r="D241" s="36" t="s">
        <v>39</v>
      </c>
      <c r="E241" s="36" t="s">
        <v>1672</v>
      </c>
      <c r="F241" s="37" t="s">
        <v>1673</v>
      </c>
      <c r="G241" s="36">
        <f>VLOOKUP(F241,'[1]Saldos de Cartera'!$E$8:$S$343,15,0)</f>
        <v>19253.37</v>
      </c>
      <c r="H241" s="36" t="s">
        <v>42</v>
      </c>
      <c r="I241" s="38">
        <v>45990</v>
      </c>
      <c r="J241" s="44" t="s">
        <v>2475</v>
      </c>
      <c r="K241" s="36" t="s">
        <v>43</v>
      </c>
      <c r="L241" s="36" t="s">
        <v>1674</v>
      </c>
      <c r="M241" s="36" t="s">
        <v>74</v>
      </c>
      <c r="N241" s="36" t="s">
        <v>141</v>
      </c>
      <c r="O241" s="36" t="s">
        <v>47</v>
      </c>
      <c r="P241" s="43">
        <v>45990</v>
      </c>
      <c r="Q241" s="39" t="s">
        <v>1675</v>
      </c>
      <c r="R241" s="39">
        <v>702702</v>
      </c>
      <c r="S241" s="36" t="s">
        <v>66</v>
      </c>
      <c r="T241" s="39"/>
      <c r="U241" s="39"/>
      <c r="V241" s="39"/>
      <c r="W241" s="39"/>
      <c r="X241" s="39" t="s">
        <v>1676</v>
      </c>
      <c r="Y241" s="39"/>
      <c r="Z241" s="36" t="s">
        <v>55</v>
      </c>
      <c r="AA241" s="43">
        <v>46188</v>
      </c>
      <c r="AB241" s="39" t="s">
        <v>56</v>
      </c>
      <c r="AC241" s="36" t="s">
        <v>68</v>
      </c>
      <c r="AD241" s="39" t="s">
        <v>69</v>
      </c>
      <c r="AE241" s="39" t="s">
        <v>59</v>
      </c>
      <c r="AF241" s="39" t="s">
        <v>60</v>
      </c>
      <c r="AG241" s="14"/>
      <c r="AH241" s="14"/>
    </row>
    <row r="242" spans="1:34" ht="15" customHeight="1" x14ac:dyDescent="0.2">
      <c r="A242" s="36" t="s">
        <v>1460</v>
      </c>
      <c r="B242" s="36" t="s">
        <v>37</v>
      </c>
      <c r="C242" s="36" t="s">
        <v>197</v>
      </c>
      <c r="D242" s="36" t="s">
        <v>39</v>
      </c>
      <c r="E242" s="36" t="s">
        <v>1677</v>
      </c>
      <c r="F242" s="37" t="s">
        <v>1678</v>
      </c>
      <c r="G242" s="36">
        <f>VLOOKUP(F242,'[1]Saldos de Cartera'!$E$8:$S$343,15,0)</f>
        <v>33031.800000000003</v>
      </c>
      <c r="H242" s="36" t="s">
        <v>42</v>
      </c>
      <c r="I242" s="38">
        <v>45688</v>
      </c>
      <c r="J242" s="44" t="s">
        <v>324</v>
      </c>
      <c r="K242" s="36" t="s">
        <v>43</v>
      </c>
      <c r="L242" s="36" t="s">
        <v>1679</v>
      </c>
      <c r="M242" s="36" t="s">
        <v>45</v>
      </c>
      <c r="N242" s="36" t="s">
        <v>385</v>
      </c>
      <c r="O242" s="36" t="s">
        <v>96</v>
      </c>
      <c r="P242" s="36"/>
      <c r="Q242" s="36"/>
      <c r="R242" s="39"/>
      <c r="S242" s="36"/>
      <c r="T242" s="36" t="s">
        <v>327</v>
      </c>
      <c r="U242" s="42">
        <v>45677</v>
      </c>
      <c r="V242" s="36" t="s">
        <v>1680</v>
      </c>
      <c r="W242" s="39" t="s">
        <v>52</v>
      </c>
      <c r="X242" s="39" t="s">
        <v>1681</v>
      </c>
      <c r="Y242" s="39" t="s">
        <v>1682</v>
      </c>
      <c r="Z242" s="36" t="s">
        <v>55</v>
      </c>
      <c r="AA242" s="41">
        <v>46185</v>
      </c>
      <c r="AB242" s="39" t="s">
        <v>56</v>
      </c>
      <c r="AC242" s="36" t="s">
        <v>1683</v>
      </c>
      <c r="AD242" s="39" t="s">
        <v>58</v>
      </c>
      <c r="AE242" s="39" t="s">
        <v>59</v>
      </c>
      <c r="AF242" s="39" t="s">
        <v>60</v>
      </c>
      <c r="AG242" s="14"/>
      <c r="AH242" s="14"/>
    </row>
    <row r="243" spans="1:34" ht="15" customHeight="1" x14ac:dyDescent="0.2">
      <c r="A243" s="36" t="s">
        <v>1460</v>
      </c>
      <c r="B243" s="36" t="s">
        <v>37</v>
      </c>
      <c r="C243" s="36" t="s">
        <v>197</v>
      </c>
      <c r="D243" s="36" t="s">
        <v>39</v>
      </c>
      <c r="E243" s="36" t="s">
        <v>1684</v>
      </c>
      <c r="F243" s="37" t="s">
        <v>1685</v>
      </c>
      <c r="G243" s="36">
        <f>VLOOKUP(F243,'[1]Saldos de Cartera'!$E$8:$S$343,15,0)</f>
        <v>0</v>
      </c>
      <c r="H243" s="36" t="s">
        <v>42</v>
      </c>
      <c r="I243" s="38">
        <v>45671</v>
      </c>
      <c r="J243" s="44" t="s">
        <v>2476</v>
      </c>
      <c r="K243" s="36" t="s">
        <v>43</v>
      </c>
      <c r="L243" s="36" t="s">
        <v>1686</v>
      </c>
      <c r="M243" s="36" t="s">
        <v>45</v>
      </c>
      <c r="N243" s="36" t="s">
        <v>46</v>
      </c>
      <c r="O243" s="36" t="s">
        <v>47</v>
      </c>
      <c r="P243" s="42">
        <v>45667</v>
      </c>
      <c r="Q243" s="36" t="s">
        <v>1687</v>
      </c>
      <c r="R243" s="39">
        <v>845854</v>
      </c>
      <c r="S243" s="39" t="s">
        <v>49</v>
      </c>
      <c r="T243" s="36" t="s">
        <v>50</v>
      </c>
      <c r="U243" s="42">
        <v>45817</v>
      </c>
      <c r="V243" s="36" t="s">
        <v>1688</v>
      </c>
      <c r="W243" s="39" t="s">
        <v>52</v>
      </c>
      <c r="X243" s="36" t="s">
        <v>1689</v>
      </c>
      <c r="Y243" s="39" t="s">
        <v>1690</v>
      </c>
      <c r="Z243" s="36" t="s">
        <v>122</v>
      </c>
      <c r="AA243" s="41">
        <v>46197</v>
      </c>
      <c r="AB243" s="39" t="s">
        <v>56</v>
      </c>
      <c r="AC243" s="36" t="s">
        <v>90</v>
      </c>
      <c r="AD243" s="36" t="s">
        <v>58</v>
      </c>
      <c r="AE243" s="39" t="s">
        <v>91</v>
      </c>
      <c r="AF243" s="39" t="s">
        <v>99</v>
      </c>
      <c r="AG243" s="14"/>
      <c r="AH243" s="14"/>
    </row>
    <row r="244" spans="1:34" ht="15" customHeight="1" x14ac:dyDescent="0.2">
      <c r="A244" s="36" t="s">
        <v>1460</v>
      </c>
      <c r="B244" s="36" t="s">
        <v>37</v>
      </c>
      <c r="C244" s="36" t="s">
        <v>197</v>
      </c>
      <c r="D244" s="36" t="s">
        <v>39</v>
      </c>
      <c r="E244" s="36" t="s">
        <v>1691</v>
      </c>
      <c r="F244" s="37" t="s">
        <v>1692</v>
      </c>
      <c r="G244" s="36">
        <f>VLOOKUP(F244,'[1]Saldos de Cartera'!$E$8:$S$343,15,0)</f>
        <v>32000</v>
      </c>
      <c r="H244" s="36" t="s">
        <v>42</v>
      </c>
      <c r="I244" s="38">
        <v>45057</v>
      </c>
      <c r="J244" s="44" t="s">
        <v>2477</v>
      </c>
      <c r="K244" s="36" t="s">
        <v>72</v>
      </c>
      <c r="L244" s="36" t="s">
        <v>1693</v>
      </c>
      <c r="M244" s="36" t="s">
        <v>45</v>
      </c>
      <c r="N244" s="36" t="s">
        <v>326</v>
      </c>
      <c r="O244" s="36" t="s">
        <v>96</v>
      </c>
      <c r="P244" s="36"/>
      <c r="Q244" s="36"/>
      <c r="R244" s="39"/>
      <c r="S244" s="36"/>
      <c r="T244" s="36" t="s">
        <v>50</v>
      </c>
      <c r="U244" s="42">
        <v>45055</v>
      </c>
      <c r="V244" s="36" t="s">
        <v>1694</v>
      </c>
      <c r="W244" s="39" t="s">
        <v>52</v>
      </c>
      <c r="X244" s="39" t="s">
        <v>96</v>
      </c>
      <c r="Y244" s="39" t="s">
        <v>1695</v>
      </c>
      <c r="Z244" s="36" t="s">
        <v>96</v>
      </c>
      <c r="AA244" s="41">
        <v>46185</v>
      </c>
      <c r="AB244" s="39" t="s">
        <v>56</v>
      </c>
      <c r="AC244" s="36" t="s">
        <v>1696</v>
      </c>
      <c r="AD244" s="36" t="s">
        <v>82</v>
      </c>
      <c r="AE244" s="39" t="s">
        <v>59</v>
      </c>
      <c r="AF244" s="39" t="s">
        <v>60</v>
      </c>
      <c r="AG244" s="14"/>
      <c r="AH244" s="14"/>
    </row>
    <row r="245" spans="1:34" ht="15" customHeight="1" x14ac:dyDescent="0.2">
      <c r="A245" s="36" t="s">
        <v>1460</v>
      </c>
      <c r="B245" s="36" t="s">
        <v>37</v>
      </c>
      <c r="C245" s="36" t="s">
        <v>197</v>
      </c>
      <c r="D245" s="36" t="s">
        <v>39</v>
      </c>
      <c r="E245" s="36" t="s">
        <v>1697</v>
      </c>
      <c r="F245" s="37" t="s">
        <v>1698</v>
      </c>
      <c r="G245" s="36">
        <f>VLOOKUP(F245,'[1]Saldos de Cartera'!$E$8:$S$343,15,0)</f>
        <v>9656.3700000000008</v>
      </c>
      <c r="H245" s="36" t="s">
        <v>42</v>
      </c>
      <c r="I245" s="38">
        <v>45813</v>
      </c>
      <c r="J245" s="44" t="s">
        <v>324</v>
      </c>
      <c r="K245" s="36" t="s">
        <v>43</v>
      </c>
      <c r="L245" s="36" t="s">
        <v>1699</v>
      </c>
      <c r="M245" s="36" t="s">
        <v>45</v>
      </c>
      <c r="N245" s="36" t="s">
        <v>1478</v>
      </c>
      <c r="O245" s="36" t="s">
        <v>96</v>
      </c>
      <c r="P245" s="39"/>
      <c r="Q245" s="39"/>
      <c r="R245" s="39"/>
      <c r="S245" s="36"/>
      <c r="T245" s="36" t="s">
        <v>327</v>
      </c>
      <c r="U245" s="40">
        <v>45793</v>
      </c>
      <c r="V245" s="39" t="s">
        <v>1700</v>
      </c>
      <c r="W245" s="39" t="s">
        <v>88</v>
      </c>
      <c r="X245" s="39" t="s">
        <v>1701</v>
      </c>
      <c r="Y245" s="39" t="s">
        <v>1702</v>
      </c>
      <c r="Z245" s="36" t="s">
        <v>55</v>
      </c>
      <c r="AA245" s="41">
        <v>46195</v>
      </c>
      <c r="AB245" s="39" t="s">
        <v>56</v>
      </c>
      <c r="AC245" s="36" t="s">
        <v>68</v>
      </c>
      <c r="AD245" s="39" t="s">
        <v>58</v>
      </c>
      <c r="AE245" s="39" t="s">
        <v>91</v>
      </c>
      <c r="AF245" s="39" t="s">
        <v>99</v>
      </c>
      <c r="AG245" s="14"/>
      <c r="AH245" s="14"/>
    </row>
    <row r="246" spans="1:34" ht="15" customHeight="1" x14ac:dyDescent="0.2">
      <c r="A246" s="36" t="s">
        <v>1460</v>
      </c>
      <c r="B246" s="36" t="s">
        <v>37</v>
      </c>
      <c r="C246" s="36" t="s">
        <v>197</v>
      </c>
      <c r="D246" s="36" t="s">
        <v>39</v>
      </c>
      <c r="E246" s="36" t="s">
        <v>1703</v>
      </c>
      <c r="F246" s="37" t="s">
        <v>1704</v>
      </c>
      <c r="G246" s="36">
        <f>VLOOKUP(F246,'[1]Saldos de Cartera'!$E$8:$S$343,15,0)</f>
        <v>55189.38</v>
      </c>
      <c r="H246" s="36" t="s">
        <v>42</v>
      </c>
      <c r="I246" s="38">
        <v>45777</v>
      </c>
      <c r="J246" s="44" t="s">
        <v>2478</v>
      </c>
      <c r="K246" s="36" t="s">
        <v>43</v>
      </c>
      <c r="L246" s="36" t="s">
        <v>1705</v>
      </c>
      <c r="M246" s="36" t="s">
        <v>45</v>
      </c>
      <c r="N246" s="36" t="s">
        <v>1706</v>
      </c>
      <c r="O246" s="36" t="s">
        <v>47</v>
      </c>
      <c r="P246" s="40">
        <v>45996</v>
      </c>
      <c r="Q246" s="39" t="s">
        <v>1707</v>
      </c>
      <c r="R246" s="39">
        <v>707170</v>
      </c>
      <c r="S246" s="36" t="s">
        <v>66</v>
      </c>
      <c r="T246" s="36"/>
      <c r="U246" s="39"/>
      <c r="V246" s="39"/>
      <c r="W246" s="39"/>
      <c r="X246" s="39" t="s">
        <v>1708</v>
      </c>
      <c r="Y246" s="39"/>
      <c r="Z246" s="36" t="s">
        <v>55</v>
      </c>
      <c r="AA246" s="41">
        <v>46199</v>
      </c>
      <c r="AB246" s="39" t="s">
        <v>56</v>
      </c>
      <c r="AC246" s="36" t="s">
        <v>1709</v>
      </c>
      <c r="AD246" s="36" t="s">
        <v>69</v>
      </c>
      <c r="AE246" s="39" t="s">
        <v>59</v>
      </c>
      <c r="AF246" s="39" t="s">
        <v>60</v>
      </c>
      <c r="AG246" s="14"/>
      <c r="AH246" s="14"/>
    </row>
    <row r="247" spans="1:34" ht="15" customHeight="1" x14ac:dyDescent="0.2">
      <c r="A247" s="36" t="s">
        <v>1460</v>
      </c>
      <c r="B247" s="36" t="s">
        <v>37</v>
      </c>
      <c r="C247" s="36" t="s">
        <v>197</v>
      </c>
      <c r="D247" s="36" t="s">
        <v>39</v>
      </c>
      <c r="E247" s="36" t="s">
        <v>1710</v>
      </c>
      <c r="F247" s="37" t="s">
        <v>1711</v>
      </c>
      <c r="G247" s="36">
        <f>VLOOKUP(F247,'[1]Saldos de Cartera'!$E$8:$S$343,15,0)</f>
        <v>14487.08</v>
      </c>
      <c r="H247" s="36" t="s">
        <v>42</v>
      </c>
      <c r="I247" s="38">
        <v>45518</v>
      </c>
      <c r="J247" s="44" t="s">
        <v>2479</v>
      </c>
      <c r="K247" s="36" t="s">
        <v>43</v>
      </c>
      <c r="L247" s="36" t="s">
        <v>1712</v>
      </c>
      <c r="M247" s="36" t="s">
        <v>45</v>
      </c>
      <c r="N247" s="36" t="s">
        <v>118</v>
      </c>
      <c r="O247" s="36" t="s">
        <v>47</v>
      </c>
      <c r="P247" s="42">
        <v>45518</v>
      </c>
      <c r="Q247" s="36" t="s">
        <v>1713</v>
      </c>
      <c r="R247" s="39">
        <v>162502</v>
      </c>
      <c r="S247" s="39" t="s">
        <v>49</v>
      </c>
      <c r="T247" s="36" t="s">
        <v>50</v>
      </c>
      <c r="U247" s="41">
        <v>45590</v>
      </c>
      <c r="V247" s="36" t="s">
        <v>1714</v>
      </c>
      <c r="W247" s="39" t="s">
        <v>52</v>
      </c>
      <c r="X247" s="36" t="s">
        <v>1715</v>
      </c>
      <c r="Y247" s="39" t="s">
        <v>1716</v>
      </c>
      <c r="Z247" s="36" t="s">
        <v>55</v>
      </c>
      <c r="AA247" s="41">
        <v>46199</v>
      </c>
      <c r="AB247" s="39" t="s">
        <v>56</v>
      </c>
      <c r="AC247" s="36" t="s">
        <v>1717</v>
      </c>
      <c r="AD247" s="36" t="s">
        <v>69</v>
      </c>
      <c r="AE247" s="39" t="s">
        <v>59</v>
      </c>
      <c r="AF247" s="39" t="s">
        <v>60</v>
      </c>
      <c r="AG247" s="14"/>
      <c r="AH247" s="14"/>
    </row>
    <row r="248" spans="1:34" ht="15" customHeight="1" x14ac:dyDescent="0.2">
      <c r="A248" s="36" t="s">
        <v>1460</v>
      </c>
      <c r="B248" s="36" t="s">
        <v>37</v>
      </c>
      <c r="C248" s="36" t="s">
        <v>197</v>
      </c>
      <c r="D248" s="36" t="s">
        <v>39</v>
      </c>
      <c r="E248" s="36" t="s">
        <v>1718</v>
      </c>
      <c r="F248" s="37" t="s">
        <v>1719</v>
      </c>
      <c r="G248" s="36">
        <f>VLOOKUP(F248,'[1]Saldos de Cartera'!$E$8:$S$343,15,0)</f>
        <v>39141.71</v>
      </c>
      <c r="H248" s="36" t="s">
        <v>42</v>
      </c>
      <c r="I248" s="38">
        <v>45427</v>
      </c>
      <c r="J248" s="44" t="s">
        <v>2480</v>
      </c>
      <c r="K248" s="36" t="s">
        <v>43</v>
      </c>
      <c r="L248" s="36" t="s">
        <v>1720</v>
      </c>
      <c r="M248" s="36" t="s">
        <v>45</v>
      </c>
      <c r="N248" s="36" t="s">
        <v>237</v>
      </c>
      <c r="O248" s="36" t="s">
        <v>47</v>
      </c>
      <c r="P248" s="42">
        <v>45426</v>
      </c>
      <c r="Q248" s="36" t="s">
        <v>1721</v>
      </c>
      <c r="R248" s="39" t="s">
        <v>1722</v>
      </c>
      <c r="S248" s="39" t="s">
        <v>49</v>
      </c>
      <c r="T248" s="36" t="s">
        <v>50</v>
      </c>
      <c r="U248" s="42">
        <v>45518</v>
      </c>
      <c r="V248" s="36" t="s">
        <v>1723</v>
      </c>
      <c r="W248" s="39" t="s">
        <v>52</v>
      </c>
      <c r="X248" s="36" t="s">
        <v>1724</v>
      </c>
      <c r="Y248" s="39" t="s">
        <v>1725</v>
      </c>
      <c r="Z248" s="36" t="s">
        <v>122</v>
      </c>
      <c r="AA248" s="41">
        <v>46199</v>
      </c>
      <c r="AB248" s="39" t="s">
        <v>56</v>
      </c>
      <c r="AC248" s="36" t="s">
        <v>90</v>
      </c>
      <c r="AD248" s="36" t="s">
        <v>69</v>
      </c>
      <c r="AE248" s="39" t="s">
        <v>91</v>
      </c>
      <c r="AF248" s="39" t="s">
        <v>99</v>
      </c>
      <c r="AG248" s="14"/>
      <c r="AH248" s="14"/>
    </row>
    <row r="249" spans="1:34" ht="15" customHeight="1" x14ac:dyDescent="0.2">
      <c r="A249" s="36" t="s">
        <v>1460</v>
      </c>
      <c r="B249" s="36" t="s">
        <v>37</v>
      </c>
      <c r="C249" s="36" t="s">
        <v>197</v>
      </c>
      <c r="D249" s="36" t="s">
        <v>39</v>
      </c>
      <c r="E249" s="36" t="s">
        <v>1726</v>
      </c>
      <c r="F249" s="37" t="s">
        <v>1727</v>
      </c>
      <c r="G249" s="36">
        <f>VLOOKUP(F249,'[1]Saldos de Cartera'!$E$8:$S$343,15,0)</f>
        <v>134274.04</v>
      </c>
      <c r="H249" s="36" t="s">
        <v>42</v>
      </c>
      <c r="I249" s="38">
        <v>45128</v>
      </c>
      <c r="J249" s="44" t="s">
        <v>2481</v>
      </c>
      <c r="K249" s="36" t="s">
        <v>72</v>
      </c>
      <c r="L249" s="36" t="s">
        <v>1728</v>
      </c>
      <c r="M249" s="36" t="s">
        <v>74</v>
      </c>
      <c r="N249" s="36" t="s">
        <v>103</v>
      </c>
      <c r="O249" s="36" t="s">
        <v>96</v>
      </c>
      <c r="P249" s="36"/>
      <c r="Q249" s="36"/>
      <c r="R249" s="39"/>
      <c r="S249" s="36"/>
      <c r="T249" s="36" t="s">
        <v>50</v>
      </c>
      <c r="U249" s="42">
        <v>45124</v>
      </c>
      <c r="V249" s="36" t="s">
        <v>1729</v>
      </c>
      <c r="W249" s="39" t="s">
        <v>52</v>
      </c>
      <c r="X249" s="39" t="s">
        <v>96</v>
      </c>
      <c r="Y249" s="39" t="s">
        <v>1730</v>
      </c>
      <c r="Z249" s="36" t="s">
        <v>96</v>
      </c>
      <c r="AA249" s="41">
        <v>46185</v>
      </c>
      <c r="AB249" s="39" t="s">
        <v>56</v>
      </c>
      <c r="AC249" s="36" t="s">
        <v>1731</v>
      </c>
      <c r="AD249" s="36" t="s">
        <v>82</v>
      </c>
      <c r="AE249" s="39" t="s">
        <v>59</v>
      </c>
      <c r="AF249" s="39" t="s">
        <v>60</v>
      </c>
      <c r="AG249" s="14"/>
      <c r="AH249" s="14"/>
    </row>
    <row r="250" spans="1:34" ht="15" customHeight="1" x14ac:dyDescent="0.2">
      <c r="A250" s="36" t="s">
        <v>1460</v>
      </c>
      <c r="B250" s="36" t="s">
        <v>37</v>
      </c>
      <c r="C250" s="36" t="s">
        <v>197</v>
      </c>
      <c r="D250" s="36" t="s">
        <v>39</v>
      </c>
      <c r="E250" s="36" t="s">
        <v>1732</v>
      </c>
      <c r="F250" s="37" t="s">
        <v>1733</v>
      </c>
      <c r="G250" s="36">
        <f>VLOOKUP(F250,'[1]Saldos de Cartera'!$E$8:$S$343,15,0)</f>
        <v>13031.28</v>
      </c>
      <c r="H250" s="36" t="s">
        <v>42</v>
      </c>
      <c r="I250" s="38">
        <v>45686</v>
      </c>
      <c r="J250" s="44" t="s">
        <v>324</v>
      </c>
      <c r="K250" s="36" t="s">
        <v>43</v>
      </c>
      <c r="L250" s="36" t="s">
        <v>1734</v>
      </c>
      <c r="M250" s="36" t="s">
        <v>45</v>
      </c>
      <c r="N250" s="36" t="s">
        <v>1735</v>
      </c>
      <c r="O250" s="36" t="s">
        <v>96</v>
      </c>
      <c r="P250" s="36"/>
      <c r="Q250" s="36"/>
      <c r="R250" s="39"/>
      <c r="S250" s="36"/>
      <c r="T250" s="36" t="s">
        <v>327</v>
      </c>
      <c r="U250" s="42">
        <v>45686</v>
      </c>
      <c r="V250" s="36" t="s">
        <v>1736</v>
      </c>
      <c r="W250" s="39" t="s">
        <v>88</v>
      </c>
      <c r="X250" s="36" t="s">
        <v>1737</v>
      </c>
      <c r="Y250" s="39" t="s">
        <v>1738</v>
      </c>
      <c r="Z250" s="36" t="s">
        <v>55</v>
      </c>
      <c r="AA250" s="41">
        <v>46197</v>
      </c>
      <c r="AB250" s="39" t="s">
        <v>56</v>
      </c>
      <c r="AC250" s="36" t="s">
        <v>90</v>
      </c>
      <c r="AD250" s="39" t="s">
        <v>58</v>
      </c>
      <c r="AE250" s="39" t="s">
        <v>91</v>
      </c>
      <c r="AF250" s="39" t="s">
        <v>60</v>
      </c>
      <c r="AG250" s="14"/>
      <c r="AH250" s="14"/>
    </row>
    <row r="251" spans="1:34" ht="15" customHeight="1" x14ac:dyDescent="0.2">
      <c r="A251" s="36" t="s">
        <v>1460</v>
      </c>
      <c r="B251" s="36" t="s">
        <v>37</v>
      </c>
      <c r="C251" s="36" t="s">
        <v>197</v>
      </c>
      <c r="D251" s="36" t="s">
        <v>39</v>
      </c>
      <c r="E251" s="36" t="s">
        <v>1739</v>
      </c>
      <c r="F251" s="46" t="s">
        <v>1740</v>
      </c>
      <c r="G251" s="36">
        <f>VLOOKUP(F251,'[1]Saldos de Cartera'!$E$8:$S$343,15,0)</f>
        <v>16985.61</v>
      </c>
      <c r="H251" s="36" t="s">
        <v>42</v>
      </c>
      <c r="I251" s="38">
        <v>45409</v>
      </c>
      <c r="J251" s="44" t="s">
        <v>2482</v>
      </c>
      <c r="K251" s="36" t="s">
        <v>43</v>
      </c>
      <c r="L251" s="36" t="s">
        <v>1741</v>
      </c>
      <c r="M251" s="36" t="s">
        <v>74</v>
      </c>
      <c r="N251" s="36" t="s">
        <v>141</v>
      </c>
      <c r="O251" s="36" t="s">
        <v>47</v>
      </c>
      <c r="P251" s="42">
        <v>45407</v>
      </c>
      <c r="Q251" s="36" t="s">
        <v>1742</v>
      </c>
      <c r="R251" s="39">
        <v>341784</v>
      </c>
      <c r="S251" s="39" t="s">
        <v>49</v>
      </c>
      <c r="T251" s="36" t="s">
        <v>50</v>
      </c>
      <c r="U251" s="42">
        <v>45537</v>
      </c>
      <c r="V251" s="36" t="s">
        <v>1743</v>
      </c>
      <c r="W251" s="39" t="s">
        <v>88</v>
      </c>
      <c r="X251" s="36" t="s">
        <v>1744</v>
      </c>
      <c r="Y251" s="39" t="s">
        <v>1745</v>
      </c>
      <c r="Z251" s="36" t="s">
        <v>55</v>
      </c>
      <c r="AA251" s="41">
        <v>46197</v>
      </c>
      <c r="AB251" s="39" t="s">
        <v>56</v>
      </c>
      <c r="AC251" s="36" t="s">
        <v>1746</v>
      </c>
      <c r="AD251" s="36" t="s">
        <v>69</v>
      </c>
      <c r="AE251" s="39" t="s">
        <v>91</v>
      </c>
      <c r="AF251" s="39" t="s">
        <v>60</v>
      </c>
      <c r="AG251" s="14"/>
      <c r="AH251" s="14"/>
    </row>
    <row r="252" spans="1:34" ht="15" customHeight="1" x14ac:dyDescent="0.2">
      <c r="A252" s="36" t="s">
        <v>1460</v>
      </c>
      <c r="B252" s="36" t="s">
        <v>37</v>
      </c>
      <c r="C252" s="36" t="s">
        <v>197</v>
      </c>
      <c r="D252" s="36" t="s">
        <v>39</v>
      </c>
      <c r="E252" s="36" t="s">
        <v>1747</v>
      </c>
      <c r="F252" s="37" t="s">
        <v>1748</v>
      </c>
      <c r="G252" s="36">
        <f>VLOOKUP(F252,'[1]Saldos de Cartera'!$E$8:$S$343,15,0)</f>
        <v>22524.46</v>
      </c>
      <c r="H252" s="36" t="s">
        <v>42</v>
      </c>
      <c r="I252" s="38">
        <v>45789</v>
      </c>
      <c r="J252" s="44" t="s">
        <v>324</v>
      </c>
      <c r="K252" s="36" t="s">
        <v>43</v>
      </c>
      <c r="L252" s="36" t="s">
        <v>1749</v>
      </c>
      <c r="M252" s="36" t="s">
        <v>45</v>
      </c>
      <c r="N252" s="36" t="s">
        <v>278</v>
      </c>
      <c r="O252" s="36" t="s">
        <v>96</v>
      </c>
      <c r="P252" s="39"/>
      <c r="Q252" s="39"/>
      <c r="R252" s="39"/>
      <c r="S252" s="36"/>
      <c r="T252" s="36" t="s">
        <v>327</v>
      </c>
      <c r="U252" s="40">
        <v>45789</v>
      </c>
      <c r="V252" s="39" t="s">
        <v>1750</v>
      </c>
      <c r="W252" s="39" t="s">
        <v>52</v>
      </c>
      <c r="X252" s="39" t="s">
        <v>1751</v>
      </c>
      <c r="Y252" s="39" t="s">
        <v>1752</v>
      </c>
      <c r="Z252" s="36" t="s">
        <v>55</v>
      </c>
      <c r="AA252" s="41">
        <v>46197</v>
      </c>
      <c r="AB252" s="39" t="s">
        <v>56</v>
      </c>
      <c r="AC252" s="39" t="s">
        <v>1753</v>
      </c>
      <c r="AD252" s="39" t="s">
        <v>58</v>
      </c>
      <c r="AE252" s="39" t="s">
        <v>59</v>
      </c>
      <c r="AF252" s="39" t="s">
        <v>60</v>
      </c>
      <c r="AG252" s="14"/>
      <c r="AH252" s="14"/>
    </row>
    <row r="253" spans="1:34" ht="15" customHeight="1" x14ac:dyDescent="0.2">
      <c r="A253" s="36" t="s">
        <v>1460</v>
      </c>
      <c r="B253" s="36" t="s">
        <v>37</v>
      </c>
      <c r="C253" s="36" t="s">
        <v>197</v>
      </c>
      <c r="D253" s="36" t="s">
        <v>39</v>
      </c>
      <c r="E253" s="36" t="s">
        <v>1754</v>
      </c>
      <c r="F253" s="37" t="s">
        <v>1755</v>
      </c>
      <c r="G253" s="36">
        <f>VLOOKUP(F253,'[1]Saldos de Cartera'!$E$8:$S$343,15,0)</f>
        <v>199592.75</v>
      </c>
      <c r="H253" s="36" t="s">
        <v>42</v>
      </c>
      <c r="I253" s="38">
        <v>45076</v>
      </c>
      <c r="J253" s="44" t="s">
        <v>2483</v>
      </c>
      <c r="K253" s="36" t="s">
        <v>72</v>
      </c>
      <c r="L253" s="36" t="s">
        <v>1756</v>
      </c>
      <c r="M253" s="36" t="s">
        <v>45</v>
      </c>
      <c r="N253" s="36" t="s">
        <v>769</v>
      </c>
      <c r="O253" s="36" t="s">
        <v>96</v>
      </c>
      <c r="P253" s="36"/>
      <c r="Q253" s="36"/>
      <c r="R253" s="39"/>
      <c r="S253" s="36"/>
      <c r="T253" s="36" t="s">
        <v>50</v>
      </c>
      <c r="U253" s="42">
        <v>45068</v>
      </c>
      <c r="V253" s="36" t="s">
        <v>1757</v>
      </c>
      <c r="W253" s="39" t="s">
        <v>52</v>
      </c>
      <c r="X253" s="39" t="s">
        <v>96</v>
      </c>
      <c r="Y253" s="39" t="s">
        <v>1758</v>
      </c>
      <c r="Z253" s="36" t="s">
        <v>96</v>
      </c>
      <c r="AA253" s="41">
        <v>46185</v>
      </c>
      <c r="AB253" s="39" t="s">
        <v>56</v>
      </c>
      <c r="AC253" s="36" t="s">
        <v>1759</v>
      </c>
      <c r="AD253" s="36" t="s">
        <v>82</v>
      </c>
      <c r="AE253" s="39" t="s">
        <v>59</v>
      </c>
      <c r="AF253" s="39" t="s">
        <v>60</v>
      </c>
      <c r="AG253" s="14"/>
      <c r="AH253" s="14"/>
    </row>
    <row r="254" spans="1:34" ht="15" customHeight="1" x14ac:dyDescent="0.2">
      <c r="A254" s="36" t="s">
        <v>1460</v>
      </c>
      <c r="B254" s="36" t="s">
        <v>37</v>
      </c>
      <c r="C254" s="36" t="s">
        <v>197</v>
      </c>
      <c r="D254" s="36" t="s">
        <v>39</v>
      </c>
      <c r="E254" s="36" t="s">
        <v>1760</v>
      </c>
      <c r="F254" s="37" t="s">
        <v>1761</v>
      </c>
      <c r="G254" s="36">
        <f>VLOOKUP(F254,'[1]Saldos de Cartera'!$E$8:$S$343,15,0)</f>
        <v>13391.6</v>
      </c>
      <c r="H254" s="36" t="s">
        <v>42</v>
      </c>
      <c r="I254" s="38">
        <v>45191</v>
      </c>
      <c r="J254" s="44" t="s">
        <v>2484</v>
      </c>
      <c r="K254" s="36" t="s">
        <v>72</v>
      </c>
      <c r="L254" s="36" t="s">
        <v>1762</v>
      </c>
      <c r="M254" s="36" t="s">
        <v>45</v>
      </c>
      <c r="N254" s="36" t="s">
        <v>1763</v>
      </c>
      <c r="O254" s="36" t="s">
        <v>47</v>
      </c>
      <c r="P254" s="42">
        <v>45190</v>
      </c>
      <c r="Q254" s="36" t="s">
        <v>1764</v>
      </c>
      <c r="R254" s="39"/>
      <c r="S254" s="39" t="s">
        <v>49</v>
      </c>
      <c r="T254" s="36" t="s">
        <v>50</v>
      </c>
      <c r="U254" s="42">
        <v>45303</v>
      </c>
      <c r="V254" s="36" t="s">
        <v>1765</v>
      </c>
      <c r="W254" s="39" t="s">
        <v>52</v>
      </c>
      <c r="X254" s="36" t="s">
        <v>1766</v>
      </c>
      <c r="Y254" s="39" t="s">
        <v>1767</v>
      </c>
      <c r="Z254" s="36" t="s">
        <v>80</v>
      </c>
      <c r="AA254" s="41">
        <v>46185</v>
      </c>
      <c r="AB254" s="39" t="s">
        <v>56</v>
      </c>
      <c r="AC254" s="36" t="s">
        <v>1768</v>
      </c>
      <c r="AD254" s="36" t="s">
        <v>82</v>
      </c>
      <c r="AE254" s="39" t="s">
        <v>59</v>
      </c>
      <c r="AF254" s="39" t="s">
        <v>60</v>
      </c>
      <c r="AG254" s="14"/>
      <c r="AH254" s="14"/>
    </row>
    <row r="255" spans="1:34" ht="15" customHeight="1" x14ac:dyDescent="0.2">
      <c r="A255" s="36" t="s">
        <v>1460</v>
      </c>
      <c r="B255" s="36" t="s">
        <v>37</v>
      </c>
      <c r="C255" s="36" t="s">
        <v>197</v>
      </c>
      <c r="D255" s="36" t="s">
        <v>39</v>
      </c>
      <c r="E255" s="36" t="s">
        <v>1769</v>
      </c>
      <c r="F255" s="37" t="s">
        <v>1770</v>
      </c>
      <c r="G255" s="36">
        <f>VLOOKUP(F255,'[1]Saldos de Cartera'!$E$8:$S$343,15,0)</f>
        <v>34853.61</v>
      </c>
      <c r="H255" s="36" t="s">
        <v>42</v>
      </c>
      <c r="I255" s="38">
        <v>45899</v>
      </c>
      <c r="J255" s="44" t="s">
        <v>2485</v>
      </c>
      <c r="K255" s="36" t="s">
        <v>43</v>
      </c>
      <c r="L255" s="36" t="s">
        <v>1771</v>
      </c>
      <c r="M255" s="36" t="s">
        <v>45</v>
      </c>
      <c r="N255" s="36" t="s">
        <v>46</v>
      </c>
      <c r="O255" s="36" t="s">
        <v>47</v>
      </c>
      <c r="P255" s="40">
        <v>45898</v>
      </c>
      <c r="Q255" s="39" t="s">
        <v>1772</v>
      </c>
      <c r="R255" s="39">
        <v>760415</v>
      </c>
      <c r="S255" s="39" t="s">
        <v>49</v>
      </c>
      <c r="T255" s="36" t="s">
        <v>50</v>
      </c>
      <c r="U255" s="40">
        <v>45923</v>
      </c>
      <c r="V255" s="39" t="s">
        <v>1773</v>
      </c>
      <c r="W255" s="39" t="s">
        <v>88</v>
      </c>
      <c r="X255" s="39" t="s">
        <v>1774</v>
      </c>
      <c r="Y255" s="39" t="s">
        <v>1745</v>
      </c>
      <c r="Z255" s="36" t="s">
        <v>55</v>
      </c>
      <c r="AA255" s="43">
        <v>46199</v>
      </c>
      <c r="AB255" s="39" t="s">
        <v>56</v>
      </c>
      <c r="AC255" s="39" t="s">
        <v>68</v>
      </c>
      <c r="AD255" s="39" t="s">
        <v>69</v>
      </c>
      <c r="AE255" s="39" t="s">
        <v>59</v>
      </c>
      <c r="AF255" s="39" t="s">
        <v>60</v>
      </c>
      <c r="AG255" s="14"/>
      <c r="AH255" s="14"/>
    </row>
    <row r="256" spans="1:34" ht="15" customHeight="1" x14ac:dyDescent="0.2">
      <c r="A256" s="36" t="s">
        <v>1460</v>
      </c>
      <c r="B256" s="36" t="s">
        <v>37</v>
      </c>
      <c r="C256" s="36" t="s">
        <v>197</v>
      </c>
      <c r="D256" s="36" t="s">
        <v>39</v>
      </c>
      <c r="E256" s="36" t="s">
        <v>1775</v>
      </c>
      <c r="F256" s="37" t="s">
        <v>1776</v>
      </c>
      <c r="G256" s="36">
        <f>VLOOKUP(F256,'[1]Saldos de Cartera'!$E$8:$S$343,15,0)</f>
        <v>23239.16</v>
      </c>
      <c r="H256" s="36" t="s">
        <v>42</v>
      </c>
      <c r="I256" s="38">
        <v>44280</v>
      </c>
      <c r="J256" s="44" t="s">
        <v>2486</v>
      </c>
      <c r="K256" s="36" t="s">
        <v>43</v>
      </c>
      <c r="L256" s="36" t="s">
        <v>1777</v>
      </c>
      <c r="M256" s="36" t="s">
        <v>45</v>
      </c>
      <c r="N256" s="36" t="s">
        <v>126</v>
      </c>
      <c r="O256" s="36" t="s">
        <v>96</v>
      </c>
      <c r="P256" s="36"/>
      <c r="Q256" s="36"/>
      <c r="R256" s="39"/>
      <c r="S256" s="36"/>
      <c r="T256" s="36" t="s">
        <v>327</v>
      </c>
      <c r="U256" s="42">
        <v>44274</v>
      </c>
      <c r="V256" s="36" t="s">
        <v>1778</v>
      </c>
      <c r="W256" s="39" t="s">
        <v>52</v>
      </c>
      <c r="X256" s="36" t="s">
        <v>1779</v>
      </c>
      <c r="Y256" s="39" t="s">
        <v>1780</v>
      </c>
      <c r="Z256" s="36" t="s">
        <v>55</v>
      </c>
      <c r="AA256" s="41">
        <v>46195</v>
      </c>
      <c r="AB256" s="39" t="s">
        <v>56</v>
      </c>
      <c r="AC256" s="36" t="s">
        <v>90</v>
      </c>
      <c r="AD256" s="39" t="s">
        <v>58</v>
      </c>
      <c r="AE256" s="39" t="s">
        <v>91</v>
      </c>
      <c r="AF256" s="39" t="s">
        <v>99</v>
      </c>
      <c r="AG256" s="14"/>
      <c r="AH256" s="14"/>
    </row>
    <row r="257" spans="1:34" ht="15" customHeight="1" x14ac:dyDescent="0.2">
      <c r="A257" s="36" t="s">
        <v>1460</v>
      </c>
      <c r="B257" s="39" t="s">
        <v>37</v>
      </c>
      <c r="C257" s="39" t="s">
        <v>197</v>
      </c>
      <c r="D257" s="36" t="s">
        <v>39</v>
      </c>
      <c r="E257" s="36" t="s">
        <v>1781</v>
      </c>
      <c r="F257" s="46" t="s">
        <v>1782</v>
      </c>
      <c r="G257" s="36">
        <f>VLOOKUP(F257,'[1]Saldos de Cartera'!$E$8:$S$343,15,0)</f>
        <v>18616.21</v>
      </c>
      <c r="H257" s="36" t="s">
        <v>42</v>
      </c>
      <c r="I257" s="47">
        <v>46028</v>
      </c>
      <c r="J257" s="48" t="s">
        <v>2487</v>
      </c>
      <c r="K257" s="39" t="s">
        <v>43</v>
      </c>
      <c r="L257" s="49">
        <v>20942.98</v>
      </c>
      <c r="M257" s="39" t="s">
        <v>74</v>
      </c>
      <c r="N257" s="39" t="s">
        <v>1321</v>
      </c>
      <c r="O257" s="36" t="s">
        <v>47</v>
      </c>
      <c r="P257" s="40">
        <v>46028</v>
      </c>
      <c r="Q257" s="39" t="s">
        <v>1783</v>
      </c>
      <c r="R257" s="39">
        <v>829862</v>
      </c>
      <c r="S257" s="39" t="s">
        <v>66</v>
      </c>
      <c r="T257" s="39"/>
      <c r="U257" s="39"/>
      <c r="V257" s="39"/>
      <c r="W257" s="39"/>
      <c r="X257" s="75" t="s">
        <v>1784</v>
      </c>
      <c r="Y257" s="75"/>
      <c r="Z257" s="36" t="s">
        <v>122</v>
      </c>
      <c r="AA257" s="40">
        <v>46186</v>
      </c>
      <c r="AB257" s="39" t="s">
        <v>56</v>
      </c>
      <c r="AC257" s="39" t="s">
        <v>68</v>
      </c>
      <c r="AD257" s="39" t="s">
        <v>69</v>
      </c>
      <c r="AE257" s="39" t="s">
        <v>59</v>
      </c>
      <c r="AF257" s="39" t="s">
        <v>60</v>
      </c>
      <c r="AG257" s="14"/>
      <c r="AH257" s="14"/>
    </row>
    <row r="258" spans="1:34" ht="15" customHeight="1" x14ac:dyDescent="0.2">
      <c r="A258" s="36" t="s">
        <v>196</v>
      </c>
      <c r="B258" s="39" t="s">
        <v>37</v>
      </c>
      <c r="C258" s="39" t="s">
        <v>197</v>
      </c>
      <c r="D258" s="36" t="s">
        <v>39</v>
      </c>
      <c r="E258" s="36" t="s">
        <v>1785</v>
      </c>
      <c r="F258" s="37" t="s">
        <v>1786</v>
      </c>
      <c r="G258" s="36">
        <f>VLOOKUP(F258,'[1]Saldos de Cartera'!$E$8:$S$343,15,0)</f>
        <v>40000</v>
      </c>
      <c r="H258" s="36" t="s">
        <v>42</v>
      </c>
      <c r="I258" s="47">
        <v>46037</v>
      </c>
      <c r="J258" s="48" t="s">
        <v>2488</v>
      </c>
      <c r="K258" s="39" t="s">
        <v>43</v>
      </c>
      <c r="L258" s="39" t="s">
        <v>1787</v>
      </c>
      <c r="M258" s="39" t="s">
        <v>74</v>
      </c>
      <c r="N258" s="39" t="s">
        <v>1321</v>
      </c>
      <c r="O258" s="36" t="s">
        <v>47</v>
      </c>
      <c r="P258" s="40">
        <v>46037</v>
      </c>
      <c r="Q258" s="39" t="s">
        <v>1788</v>
      </c>
      <c r="R258" s="39">
        <v>37918</v>
      </c>
      <c r="S258" s="39" t="s">
        <v>66</v>
      </c>
      <c r="T258" s="39"/>
      <c r="U258" s="39"/>
      <c r="V258" s="39"/>
      <c r="W258" s="39"/>
      <c r="X258" s="39" t="s">
        <v>1789</v>
      </c>
      <c r="Y258" s="39"/>
      <c r="Z258" s="36" t="s">
        <v>55</v>
      </c>
      <c r="AA258" s="40">
        <v>46186</v>
      </c>
      <c r="AB258" s="39" t="s">
        <v>56</v>
      </c>
      <c r="AC258" s="39" t="s">
        <v>68</v>
      </c>
      <c r="AD258" s="39" t="s">
        <v>69</v>
      </c>
      <c r="AE258" s="39" t="s">
        <v>59</v>
      </c>
      <c r="AF258" s="39" t="s">
        <v>60</v>
      </c>
      <c r="AG258" s="14"/>
      <c r="AH258" s="14"/>
    </row>
    <row r="259" spans="1:34" ht="15" customHeight="1" x14ac:dyDescent="0.2">
      <c r="A259" s="36" t="s">
        <v>196</v>
      </c>
      <c r="B259" s="39" t="s">
        <v>37</v>
      </c>
      <c r="C259" s="39" t="s">
        <v>197</v>
      </c>
      <c r="D259" s="36" t="s">
        <v>39</v>
      </c>
      <c r="E259" s="36" t="s">
        <v>1790</v>
      </c>
      <c r="F259" s="46" t="s">
        <v>1791</v>
      </c>
      <c r="G259" s="36">
        <f>VLOOKUP(F259,'[1]Saldos de Cartera'!$E$8:$S$343,15,0)</f>
        <v>26635.3</v>
      </c>
      <c r="H259" s="36" t="s">
        <v>42</v>
      </c>
      <c r="I259" s="47">
        <v>46037</v>
      </c>
      <c r="J259" s="48" t="s">
        <v>2489</v>
      </c>
      <c r="K259" s="39" t="s">
        <v>43</v>
      </c>
      <c r="L259" s="39" t="s">
        <v>1792</v>
      </c>
      <c r="M259" s="39" t="s">
        <v>74</v>
      </c>
      <c r="N259" s="39" t="s">
        <v>1321</v>
      </c>
      <c r="O259" s="36" t="s">
        <v>47</v>
      </c>
      <c r="P259" s="40">
        <v>46037</v>
      </c>
      <c r="Q259" s="39" t="s">
        <v>1793</v>
      </c>
      <c r="R259" s="39">
        <v>575908</v>
      </c>
      <c r="S259" s="39" t="s">
        <v>66</v>
      </c>
      <c r="T259" s="39"/>
      <c r="U259" s="39"/>
      <c r="V259" s="39"/>
      <c r="W259" s="39"/>
      <c r="X259" s="39" t="s">
        <v>1794</v>
      </c>
      <c r="Y259" s="39"/>
      <c r="Z259" s="36" t="s">
        <v>55</v>
      </c>
      <c r="AA259" s="40">
        <v>46186</v>
      </c>
      <c r="AB259" s="39" t="s">
        <v>56</v>
      </c>
      <c r="AC259" s="39" t="s">
        <v>68</v>
      </c>
      <c r="AD259" s="39" t="s">
        <v>69</v>
      </c>
      <c r="AE259" s="39" t="s">
        <v>59</v>
      </c>
      <c r="AF259" s="39" t="s">
        <v>60</v>
      </c>
      <c r="AG259" s="14"/>
      <c r="AH259" s="14"/>
    </row>
    <row r="260" spans="1:34" ht="15" customHeight="1" x14ac:dyDescent="0.2">
      <c r="A260" s="36" t="s">
        <v>1252</v>
      </c>
      <c r="B260" s="39" t="s">
        <v>37</v>
      </c>
      <c r="C260" s="39" t="s">
        <v>197</v>
      </c>
      <c r="D260" s="36" t="s">
        <v>39</v>
      </c>
      <c r="E260" s="36" t="s">
        <v>1795</v>
      </c>
      <c r="F260" s="46" t="s">
        <v>1796</v>
      </c>
      <c r="G260" s="36">
        <f>VLOOKUP(F260,'[1]Saldos de Cartera'!$E$8:$S$343,15,0)</f>
        <v>38939.279999999999</v>
      </c>
      <c r="H260" s="36" t="s">
        <v>42</v>
      </c>
      <c r="I260" s="47">
        <v>46041</v>
      </c>
      <c r="J260" s="48" t="s">
        <v>2490</v>
      </c>
      <c r="K260" s="39" t="s">
        <v>43</v>
      </c>
      <c r="L260" s="39" t="s">
        <v>1797</v>
      </c>
      <c r="M260" s="39" t="s">
        <v>74</v>
      </c>
      <c r="N260" s="39" t="s">
        <v>1798</v>
      </c>
      <c r="O260" s="36" t="s">
        <v>47</v>
      </c>
      <c r="P260" s="40">
        <v>46041</v>
      </c>
      <c r="Q260" s="39" t="s">
        <v>1799</v>
      </c>
      <c r="R260" s="39">
        <v>714053</v>
      </c>
      <c r="S260" s="39" t="s">
        <v>66</v>
      </c>
      <c r="T260" s="39"/>
      <c r="U260" s="39"/>
      <c r="V260" s="39"/>
      <c r="W260" s="39"/>
      <c r="X260" s="39" t="s">
        <v>1800</v>
      </c>
      <c r="Y260" s="39"/>
      <c r="Z260" s="36" t="s">
        <v>55</v>
      </c>
      <c r="AA260" s="40">
        <v>46186</v>
      </c>
      <c r="AB260" s="39" t="s">
        <v>56</v>
      </c>
      <c r="AC260" s="39" t="s">
        <v>68</v>
      </c>
      <c r="AD260" s="39" t="s">
        <v>69</v>
      </c>
      <c r="AE260" s="39" t="s">
        <v>59</v>
      </c>
      <c r="AF260" s="39" t="s">
        <v>60</v>
      </c>
      <c r="AG260" s="14"/>
      <c r="AH260" s="14"/>
    </row>
    <row r="261" spans="1:34" ht="15" customHeight="1" x14ac:dyDescent="0.2">
      <c r="A261" s="36" t="s">
        <v>839</v>
      </c>
      <c r="B261" s="36" t="s">
        <v>37</v>
      </c>
      <c r="C261" s="36" t="s">
        <v>38</v>
      </c>
      <c r="D261" s="36" t="s">
        <v>39</v>
      </c>
      <c r="E261" s="36" t="s">
        <v>1801</v>
      </c>
      <c r="F261" s="46" t="s">
        <v>1802</v>
      </c>
      <c r="G261" s="36">
        <f>VLOOKUP(F261,'[1]Saldos de Cartera'!$E$8:$S$343,15,0)</f>
        <v>20906.18</v>
      </c>
      <c r="H261" s="36" t="s">
        <v>42</v>
      </c>
      <c r="I261" s="47">
        <v>46044</v>
      </c>
      <c r="J261" s="48" t="s">
        <v>324</v>
      </c>
      <c r="K261" s="39" t="s">
        <v>43</v>
      </c>
      <c r="L261" s="39" t="s">
        <v>1803</v>
      </c>
      <c r="M261" s="39" t="s">
        <v>45</v>
      </c>
      <c r="N261" s="39" t="s">
        <v>1804</v>
      </c>
      <c r="O261" s="39" t="s">
        <v>96</v>
      </c>
      <c r="P261" s="39"/>
      <c r="Q261" s="39"/>
      <c r="R261" s="39"/>
      <c r="S261" s="39"/>
      <c r="T261" s="39" t="s">
        <v>327</v>
      </c>
      <c r="U261" s="40">
        <v>46044</v>
      </c>
      <c r="V261" s="39" t="s">
        <v>1805</v>
      </c>
      <c r="W261" s="39" t="s">
        <v>88</v>
      </c>
      <c r="X261" s="39" t="s">
        <v>1806</v>
      </c>
      <c r="Y261" s="39" t="s">
        <v>1807</v>
      </c>
      <c r="Z261" s="36" t="s">
        <v>55</v>
      </c>
      <c r="AA261" s="40">
        <v>46186</v>
      </c>
      <c r="AB261" s="39" t="s">
        <v>56</v>
      </c>
      <c r="AC261" s="39" t="s">
        <v>68</v>
      </c>
      <c r="AD261" s="39" t="s">
        <v>58</v>
      </c>
      <c r="AE261" s="39" t="s">
        <v>59</v>
      </c>
      <c r="AF261" s="39" t="s">
        <v>60</v>
      </c>
      <c r="AG261" s="14"/>
      <c r="AH261" s="14"/>
    </row>
    <row r="262" spans="1:34" ht="15" customHeight="1" x14ac:dyDescent="0.2">
      <c r="A262" s="36" t="s">
        <v>839</v>
      </c>
      <c r="B262" s="36" t="s">
        <v>37</v>
      </c>
      <c r="C262" s="36" t="s">
        <v>38</v>
      </c>
      <c r="D262" s="36" t="s">
        <v>39</v>
      </c>
      <c r="E262" s="36" t="s">
        <v>1808</v>
      </c>
      <c r="F262" s="46" t="s">
        <v>1809</v>
      </c>
      <c r="G262" s="36">
        <f>VLOOKUP(F262,'[1]Saldos de Cartera'!$E$8:$S$343,15,0)</f>
        <v>57995.39</v>
      </c>
      <c r="H262" s="36" t="s">
        <v>42</v>
      </c>
      <c r="I262" s="47">
        <v>46048</v>
      </c>
      <c r="J262" s="48" t="s">
        <v>2491</v>
      </c>
      <c r="K262" s="39" t="s">
        <v>43</v>
      </c>
      <c r="L262" s="39" t="s">
        <v>1810</v>
      </c>
      <c r="M262" s="39" t="s">
        <v>45</v>
      </c>
      <c r="N262" s="39" t="s">
        <v>1811</v>
      </c>
      <c r="O262" s="36" t="s">
        <v>47</v>
      </c>
      <c r="P262" s="40">
        <v>46048</v>
      </c>
      <c r="Q262" s="39" t="s">
        <v>1812</v>
      </c>
      <c r="R262" s="39">
        <v>416216</v>
      </c>
      <c r="S262" s="39" t="s">
        <v>49</v>
      </c>
      <c r="T262" s="36" t="s">
        <v>50</v>
      </c>
      <c r="U262" s="40">
        <v>46181</v>
      </c>
      <c r="V262" s="39" t="s">
        <v>1813</v>
      </c>
      <c r="W262" s="39" t="s">
        <v>435</v>
      </c>
      <c r="X262" s="36" t="s">
        <v>1814</v>
      </c>
      <c r="Y262" s="39" t="s">
        <v>1815</v>
      </c>
      <c r="Z262" s="36" t="s">
        <v>55</v>
      </c>
      <c r="AA262" s="40">
        <v>46186</v>
      </c>
      <c r="AB262" s="39" t="s">
        <v>56</v>
      </c>
      <c r="AC262" s="39" t="s">
        <v>68</v>
      </c>
      <c r="AD262" s="39" t="s">
        <v>69</v>
      </c>
      <c r="AE262" s="39" t="s">
        <v>59</v>
      </c>
      <c r="AF262" s="39" t="s">
        <v>60</v>
      </c>
      <c r="AG262" s="14"/>
      <c r="AH262" s="14"/>
    </row>
    <row r="263" spans="1:34" ht="15" customHeight="1" x14ac:dyDescent="0.2">
      <c r="A263" s="36" t="s">
        <v>369</v>
      </c>
      <c r="B263" s="36" t="s">
        <v>37</v>
      </c>
      <c r="C263" s="36" t="s">
        <v>38</v>
      </c>
      <c r="D263" s="36" t="s">
        <v>39</v>
      </c>
      <c r="E263" s="36" t="s">
        <v>1816</v>
      </c>
      <c r="F263" s="37" t="s">
        <v>1817</v>
      </c>
      <c r="G263" s="36">
        <f>VLOOKUP(F263,'[1]Saldos de Cartera'!$E$8:$S$343,15,0)</f>
        <v>34624.959999999999</v>
      </c>
      <c r="H263" s="36" t="s">
        <v>42</v>
      </c>
      <c r="I263" s="47">
        <v>46048</v>
      </c>
      <c r="J263" s="48" t="s">
        <v>2492</v>
      </c>
      <c r="K263" s="39" t="s">
        <v>43</v>
      </c>
      <c r="L263" s="39" t="s">
        <v>1818</v>
      </c>
      <c r="M263" s="39" t="s">
        <v>45</v>
      </c>
      <c r="N263" s="39" t="s">
        <v>118</v>
      </c>
      <c r="O263" s="36" t="s">
        <v>47</v>
      </c>
      <c r="P263" s="40">
        <v>46048</v>
      </c>
      <c r="Q263" s="39" t="s">
        <v>1819</v>
      </c>
      <c r="R263" s="39">
        <v>93860</v>
      </c>
      <c r="S263" s="39" t="s">
        <v>49</v>
      </c>
      <c r="T263" s="36" t="s">
        <v>50</v>
      </c>
      <c r="U263" s="40">
        <v>46164</v>
      </c>
      <c r="V263" s="39" t="s">
        <v>1820</v>
      </c>
      <c r="W263" s="39" t="s">
        <v>88</v>
      </c>
      <c r="X263" s="36" t="s">
        <v>1821</v>
      </c>
      <c r="Y263" s="39" t="s">
        <v>1822</v>
      </c>
      <c r="Z263" s="36" t="s">
        <v>80</v>
      </c>
      <c r="AA263" s="40">
        <v>46186</v>
      </c>
      <c r="AB263" s="39" t="s">
        <v>56</v>
      </c>
      <c r="AC263" s="39" t="s">
        <v>68</v>
      </c>
      <c r="AD263" s="39" t="s">
        <v>69</v>
      </c>
      <c r="AE263" s="39" t="s">
        <v>59</v>
      </c>
      <c r="AF263" s="39" t="s">
        <v>60</v>
      </c>
      <c r="AG263" s="14"/>
      <c r="AH263" s="14"/>
    </row>
    <row r="264" spans="1:34" ht="15" customHeight="1" x14ac:dyDescent="0.2">
      <c r="A264" s="36" t="s">
        <v>369</v>
      </c>
      <c r="B264" s="36" t="s">
        <v>37</v>
      </c>
      <c r="C264" s="36" t="s">
        <v>38</v>
      </c>
      <c r="D264" s="36" t="s">
        <v>39</v>
      </c>
      <c r="E264" s="36" t="s">
        <v>1823</v>
      </c>
      <c r="F264" s="46" t="s">
        <v>1824</v>
      </c>
      <c r="G264" s="36">
        <f>VLOOKUP(F264,'[1]Saldos de Cartera'!$E$8:$S$343,15,0)</f>
        <v>38551.06</v>
      </c>
      <c r="H264" s="36" t="s">
        <v>42</v>
      </c>
      <c r="I264" s="47">
        <v>46049</v>
      </c>
      <c r="J264" s="48" t="s">
        <v>2493</v>
      </c>
      <c r="K264" s="39" t="s">
        <v>72</v>
      </c>
      <c r="L264" s="39" t="s">
        <v>1825</v>
      </c>
      <c r="M264" s="39" t="s">
        <v>45</v>
      </c>
      <c r="N264" s="39" t="s">
        <v>902</v>
      </c>
      <c r="O264" s="36" t="s">
        <v>47</v>
      </c>
      <c r="P264" s="40">
        <v>46049</v>
      </c>
      <c r="Q264" s="39" t="s">
        <v>1826</v>
      </c>
      <c r="R264" s="39">
        <v>841697</v>
      </c>
      <c r="S264" s="39" t="s">
        <v>49</v>
      </c>
      <c r="T264" s="36" t="s">
        <v>50</v>
      </c>
      <c r="U264" s="40">
        <v>46181</v>
      </c>
      <c r="V264" s="39" t="s">
        <v>1827</v>
      </c>
      <c r="W264" s="39" t="s">
        <v>435</v>
      </c>
      <c r="X264" s="36" t="s">
        <v>1828</v>
      </c>
      <c r="Y264" s="39" t="s">
        <v>1829</v>
      </c>
      <c r="Z264" s="39" t="s">
        <v>80</v>
      </c>
      <c r="AA264" s="40">
        <v>46186</v>
      </c>
      <c r="AB264" s="39" t="s">
        <v>56</v>
      </c>
      <c r="AC264" s="39" t="s">
        <v>68</v>
      </c>
      <c r="AD264" s="39" t="s">
        <v>82</v>
      </c>
      <c r="AE264" s="39" t="s">
        <v>59</v>
      </c>
      <c r="AF264" s="39" t="s">
        <v>60</v>
      </c>
      <c r="AG264" s="14"/>
      <c r="AH264" s="14"/>
    </row>
    <row r="265" spans="1:34" ht="15" customHeight="1" x14ac:dyDescent="0.2">
      <c r="A265" s="36" t="s">
        <v>36</v>
      </c>
      <c r="B265" s="36" t="s">
        <v>37</v>
      </c>
      <c r="C265" s="36" t="s">
        <v>38</v>
      </c>
      <c r="D265" s="36" t="s">
        <v>39</v>
      </c>
      <c r="E265" s="36" t="s">
        <v>1830</v>
      </c>
      <c r="F265" s="46" t="s">
        <v>1831</v>
      </c>
      <c r="G265" s="36">
        <f>VLOOKUP(F265,'[1]Saldos de Cartera'!$E$8:$S$343,15,0)</f>
        <v>37934.14</v>
      </c>
      <c r="H265" s="36" t="s">
        <v>42</v>
      </c>
      <c r="I265" s="47">
        <v>46052</v>
      </c>
      <c r="J265" s="48" t="s">
        <v>2494</v>
      </c>
      <c r="K265" s="39" t="s">
        <v>43</v>
      </c>
      <c r="L265" s="39" t="s">
        <v>1832</v>
      </c>
      <c r="M265" s="39" t="s">
        <v>45</v>
      </c>
      <c r="N265" s="39" t="s">
        <v>118</v>
      </c>
      <c r="O265" s="36" t="s">
        <v>47</v>
      </c>
      <c r="P265" s="40">
        <v>46052</v>
      </c>
      <c r="Q265" s="39" t="s">
        <v>1833</v>
      </c>
      <c r="R265" s="39">
        <v>139815</v>
      </c>
      <c r="S265" s="39" t="s">
        <v>49</v>
      </c>
      <c r="T265" s="36" t="s">
        <v>50</v>
      </c>
      <c r="U265" s="40">
        <v>46164</v>
      </c>
      <c r="V265" s="39" t="s">
        <v>1834</v>
      </c>
      <c r="W265" s="39" t="s">
        <v>88</v>
      </c>
      <c r="X265" s="36" t="s">
        <v>1835</v>
      </c>
      <c r="Y265" s="39" t="s">
        <v>1836</v>
      </c>
      <c r="Z265" s="36" t="s">
        <v>55</v>
      </c>
      <c r="AA265" s="40">
        <v>46186</v>
      </c>
      <c r="AB265" s="39" t="s">
        <v>56</v>
      </c>
      <c r="AC265" s="39" t="s">
        <v>68</v>
      </c>
      <c r="AD265" s="39" t="s">
        <v>69</v>
      </c>
      <c r="AE265" s="39" t="s">
        <v>59</v>
      </c>
      <c r="AF265" s="39" t="s">
        <v>60</v>
      </c>
      <c r="AG265" s="14"/>
      <c r="AH265" s="14"/>
    </row>
    <row r="266" spans="1:34" ht="15" customHeight="1" x14ac:dyDescent="0.2">
      <c r="A266" s="36" t="s">
        <v>369</v>
      </c>
      <c r="B266" s="36" t="s">
        <v>37</v>
      </c>
      <c r="C266" s="36" t="s">
        <v>38</v>
      </c>
      <c r="D266" s="36" t="s">
        <v>39</v>
      </c>
      <c r="E266" s="36" t="s">
        <v>1823</v>
      </c>
      <c r="F266" s="46" t="s">
        <v>1837</v>
      </c>
      <c r="G266" s="36">
        <f>VLOOKUP(F266,'[1]Saldos de Cartera'!$E$8:$S$343,15,0)</f>
        <v>45674.93</v>
      </c>
      <c r="H266" s="36" t="s">
        <v>42</v>
      </c>
      <c r="I266" s="47">
        <v>46049</v>
      </c>
      <c r="J266" s="48" t="s">
        <v>2495</v>
      </c>
      <c r="K266" s="39" t="s">
        <v>43</v>
      </c>
      <c r="L266" s="39" t="s">
        <v>1838</v>
      </c>
      <c r="M266" s="39" t="s">
        <v>45</v>
      </c>
      <c r="N266" s="39" t="s">
        <v>902</v>
      </c>
      <c r="O266" s="36" t="s">
        <v>47</v>
      </c>
      <c r="P266" s="40">
        <v>46049</v>
      </c>
      <c r="Q266" s="39" t="s">
        <v>1826</v>
      </c>
      <c r="R266" s="39">
        <v>841697</v>
      </c>
      <c r="S266" s="39" t="s">
        <v>49</v>
      </c>
      <c r="T266" s="36" t="s">
        <v>50</v>
      </c>
      <c r="U266" s="40">
        <v>46181</v>
      </c>
      <c r="V266" s="39" t="s">
        <v>2540</v>
      </c>
      <c r="W266" s="39" t="s">
        <v>435</v>
      </c>
      <c r="X266" s="36" t="s">
        <v>1828</v>
      </c>
      <c r="Y266" s="39" t="s">
        <v>1829</v>
      </c>
      <c r="Z266" s="39" t="s">
        <v>80</v>
      </c>
      <c r="AA266" s="40">
        <v>46189</v>
      </c>
      <c r="AB266" s="39" t="s">
        <v>56</v>
      </c>
      <c r="AC266" s="39" t="s">
        <v>68</v>
      </c>
      <c r="AD266" s="39" t="s">
        <v>69</v>
      </c>
      <c r="AE266" s="39" t="s">
        <v>59</v>
      </c>
      <c r="AF266" s="39" t="s">
        <v>60</v>
      </c>
      <c r="AG266" s="14"/>
      <c r="AH266" s="14"/>
    </row>
    <row r="267" spans="1:34" ht="15" customHeight="1" x14ac:dyDescent="0.2">
      <c r="A267" s="36" t="s">
        <v>1460</v>
      </c>
      <c r="B267" s="39" t="s">
        <v>37</v>
      </c>
      <c r="C267" s="39" t="s">
        <v>197</v>
      </c>
      <c r="D267" s="36" t="s">
        <v>39</v>
      </c>
      <c r="E267" s="36" t="s">
        <v>1839</v>
      </c>
      <c r="F267" s="46" t="s">
        <v>1840</v>
      </c>
      <c r="G267" s="36">
        <f>VLOOKUP(F267,'[1]Saldos de Cartera'!$E$8:$S$343,15,0)</f>
        <v>78067.009999999995</v>
      </c>
      <c r="H267" s="36" t="s">
        <v>42</v>
      </c>
      <c r="I267" s="47">
        <v>46058</v>
      </c>
      <c r="J267" s="48" t="s">
        <v>2496</v>
      </c>
      <c r="K267" s="39" t="s">
        <v>43</v>
      </c>
      <c r="L267" s="39" t="s">
        <v>1841</v>
      </c>
      <c r="M267" s="39" t="s">
        <v>45</v>
      </c>
      <c r="N267" s="39" t="s">
        <v>1842</v>
      </c>
      <c r="O267" s="36" t="s">
        <v>47</v>
      </c>
      <c r="P267" s="40">
        <v>46058</v>
      </c>
      <c r="Q267" s="39" t="s">
        <v>1843</v>
      </c>
      <c r="R267" s="39">
        <v>631469</v>
      </c>
      <c r="S267" s="39" t="s">
        <v>49</v>
      </c>
      <c r="T267" s="36" t="s">
        <v>50</v>
      </c>
      <c r="U267" s="40">
        <v>46153</v>
      </c>
      <c r="V267" s="39" t="s">
        <v>2540</v>
      </c>
      <c r="W267" s="39" t="s">
        <v>435</v>
      </c>
      <c r="X267" s="39" t="s">
        <v>1844</v>
      </c>
      <c r="Y267" s="39" t="s">
        <v>1845</v>
      </c>
      <c r="Z267" s="36" t="s">
        <v>55</v>
      </c>
      <c r="AA267" s="40">
        <v>46189</v>
      </c>
      <c r="AB267" s="39" t="s">
        <v>56</v>
      </c>
      <c r="AC267" s="39" t="s">
        <v>68</v>
      </c>
      <c r="AD267" s="39" t="s">
        <v>69</v>
      </c>
      <c r="AE267" s="39" t="s">
        <v>59</v>
      </c>
      <c r="AF267" s="39" t="s">
        <v>99</v>
      </c>
      <c r="AG267" s="14"/>
      <c r="AH267" s="14"/>
    </row>
    <row r="268" spans="1:34" ht="15" customHeight="1" x14ac:dyDescent="0.2">
      <c r="A268" s="36" t="s">
        <v>1460</v>
      </c>
      <c r="B268" s="39" t="s">
        <v>37</v>
      </c>
      <c r="C268" s="39" t="s">
        <v>197</v>
      </c>
      <c r="D268" s="36" t="s">
        <v>39</v>
      </c>
      <c r="E268" s="36" t="s">
        <v>1846</v>
      </c>
      <c r="F268" s="46" t="s">
        <v>1847</v>
      </c>
      <c r="G268" s="36">
        <f>VLOOKUP(F268,'[1]Saldos de Cartera'!$E$8:$S$343,15,0)</f>
        <v>49331.37</v>
      </c>
      <c r="H268" s="36" t="s">
        <v>42</v>
      </c>
      <c r="I268" s="47">
        <v>46058</v>
      </c>
      <c r="J268" s="48" t="s">
        <v>2497</v>
      </c>
      <c r="K268" s="39" t="s">
        <v>43</v>
      </c>
      <c r="L268" s="39" t="s">
        <v>1848</v>
      </c>
      <c r="M268" s="39" t="s">
        <v>45</v>
      </c>
      <c r="N268" s="39" t="s">
        <v>1849</v>
      </c>
      <c r="O268" s="36" t="s">
        <v>47</v>
      </c>
      <c r="P268" s="40">
        <v>46058</v>
      </c>
      <c r="Q268" s="39" t="s">
        <v>1850</v>
      </c>
      <c r="R268" s="39">
        <v>204283</v>
      </c>
      <c r="S268" s="39" t="s">
        <v>49</v>
      </c>
      <c r="T268" s="36" t="s">
        <v>50</v>
      </c>
      <c r="U268" s="40">
        <v>46195</v>
      </c>
      <c r="V268" s="39" t="s">
        <v>1851</v>
      </c>
      <c r="W268" s="39" t="s">
        <v>435</v>
      </c>
      <c r="X268" s="39" t="s">
        <v>1852</v>
      </c>
      <c r="Y268" s="39" t="s">
        <v>1853</v>
      </c>
      <c r="Z268" s="36" t="s">
        <v>55</v>
      </c>
      <c r="AA268" s="40">
        <v>46189</v>
      </c>
      <c r="AB268" s="39" t="s">
        <v>56</v>
      </c>
      <c r="AC268" s="39" t="s">
        <v>68</v>
      </c>
      <c r="AD268" s="39" t="s">
        <v>69</v>
      </c>
      <c r="AE268" s="39" t="s">
        <v>59</v>
      </c>
      <c r="AF268" s="39" t="s">
        <v>60</v>
      </c>
      <c r="AG268" s="14"/>
      <c r="AH268" s="14"/>
    </row>
    <row r="269" spans="1:34" ht="15" customHeight="1" x14ac:dyDescent="0.2">
      <c r="A269" s="36" t="s">
        <v>1460</v>
      </c>
      <c r="B269" s="39" t="s">
        <v>37</v>
      </c>
      <c r="C269" s="39" t="s">
        <v>197</v>
      </c>
      <c r="D269" s="36" t="s">
        <v>39</v>
      </c>
      <c r="E269" s="36" t="s">
        <v>1854</v>
      </c>
      <c r="F269" s="46" t="s">
        <v>1855</v>
      </c>
      <c r="G269" s="36">
        <f>VLOOKUP(F269,'[1]Saldos de Cartera'!$E$8:$S$343,15,0)</f>
        <v>36415.370000000003</v>
      </c>
      <c r="H269" s="36" t="s">
        <v>42</v>
      </c>
      <c r="I269" s="47">
        <v>46059</v>
      </c>
      <c r="J269" s="48" t="s">
        <v>2498</v>
      </c>
      <c r="K269" s="39" t="s">
        <v>43</v>
      </c>
      <c r="L269" s="39" t="s">
        <v>1856</v>
      </c>
      <c r="M269" s="39" t="s">
        <v>45</v>
      </c>
      <c r="N269" s="39" t="s">
        <v>118</v>
      </c>
      <c r="O269" s="36" t="s">
        <v>47</v>
      </c>
      <c r="P269" s="40">
        <v>46059</v>
      </c>
      <c r="Q269" s="39" t="s">
        <v>1857</v>
      </c>
      <c r="R269" s="39">
        <v>427106</v>
      </c>
      <c r="S269" s="39" t="s">
        <v>49</v>
      </c>
      <c r="T269" s="36" t="s">
        <v>50</v>
      </c>
      <c r="U269" s="40">
        <v>46195</v>
      </c>
      <c r="V269" s="39" t="s">
        <v>1858</v>
      </c>
      <c r="W269" s="39" t="s">
        <v>88</v>
      </c>
      <c r="X269" s="39" t="s">
        <v>1859</v>
      </c>
      <c r="Y269" s="39" t="s">
        <v>2541</v>
      </c>
      <c r="Z269" s="36" t="s">
        <v>55</v>
      </c>
      <c r="AA269" s="40">
        <v>46189</v>
      </c>
      <c r="AB269" s="39" t="s">
        <v>56</v>
      </c>
      <c r="AC269" s="39" t="s">
        <v>68</v>
      </c>
      <c r="AD269" s="39" t="s">
        <v>69</v>
      </c>
      <c r="AE269" s="39" t="s">
        <v>59</v>
      </c>
      <c r="AF269" s="39" t="s">
        <v>60</v>
      </c>
      <c r="AG269" s="14"/>
      <c r="AH269" s="14"/>
    </row>
    <row r="270" spans="1:34" ht="15" customHeight="1" x14ac:dyDescent="0.2">
      <c r="A270" s="36" t="s">
        <v>839</v>
      </c>
      <c r="B270" s="36" t="s">
        <v>37</v>
      </c>
      <c r="C270" s="36" t="s">
        <v>38</v>
      </c>
      <c r="D270" s="36" t="s">
        <v>39</v>
      </c>
      <c r="E270" s="36" t="s">
        <v>1860</v>
      </c>
      <c r="F270" s="46" t="s">
        <v>1861</v>
      </c>
      <c r="G270" s="36">
        <f>VLOOKUP(F270,'[1]Saldos de Cartera'!$E$8:$S$343,15,0)</f>
        <v>69468.14</v>
      </c>
      <c r="H270" s="36" t="s">
        <v>42</v>
      </c>
      <c r="I270" s="47">
        <v>46070</v>
      </c>
      <c r="J270" s="48" t="s">
        <v>2499</v>
      </c>
      <c r="K270" s="39" t="s">
        <v>43</v>
      </c>
      <c r="L270" s="39" t="s">
        <v>1862</v>
      </c>
      <c r="M270" s="39" t="s">
        <v>45</v>
      </c>
      <c r="N270" s="39" t="s">
        <v>1041</v>
      </c>
      <c r="O270" s="36" t="s">
        <v>47</v>
      </c>
      <c r="P270" s="40">
        <v>46070</v>
      </c>
      <c r="Q270" s="39" t="s">
        <v>1863</v>
      </c>
      <c r="R270" s="39">
        <v>946550</v>
      </c>
      <c r="S270" s="39" t="s">
        <v>49</v>
      </c>
      <c r="T270" s="36" t="s">
        <v>50</v>
      </c>
      <c r="U270" s="40">
        <v>46199</v>
      </c>
      <c r="V270" s="39" t="s">
        <v>1864</v>
      </c>
      <c r="W270" s="39" t="s">
        <v>88</v>
      </c>
      <c r="X270" s="39" t="s">
        <v>1865</v>
      </c>
      <c r="Y270" s="39" t="s">
        <v>2542</v>
      </c>
      <c r="Z270" s="36" t="s">
        <v>55</v>
      </c>
      <c r="AA270" s="40">
        <v>46189</v>
      </c>
      <c r="AB270" s="39" t="s">
        <v>56</v>
      </c>
      <c r="AC270" s="39" t="s">
        <v>68</v>
      </c>
      <c r="AD270" s="39" t="s">
        <v>69</v>
      </c>
      <c r="AE270" s="39" t="s">
        <v>59</v>
      </c>
      <c r="AF270" s="39" t="s">
        <v>60</v>
      </c>
      <c r="AG270" s="14"/>
      <c r="AH270" s="14"/>
    </row>
    <row r="271" spans="1:34" ht="15" customHeight="1" x14ac:dyDescent="0.2">
      <c r="A271" s="36" t="s">
        <v>1052</v>
      </c>
      <c r="B271" s="39" t="s">
        <v>37</v>
      </c>
      <c r="C271" s="39" t="s">
        <v>197</v>
      </c>
      <c r="D271" s="36" t="s">
        <v>39</v>
      </c>
      <c r="E271" s="36" t="s">
        <v>1867</v>
      </c>
      <c r="F271" s="46" t="s">
        <v>1868</v>
      </c>
      <c r="G271" s="36">
        <f>VLOOKUP(F271,'[1]Saldos de Cartera'!$E$8:$S$343,15,0)</f>
        <v>49292.93</v>
      </c>
      <c r="H271" s="36" t="s">
        <v>42</v>
      </c>
      <c r="I271" s="47">
        <v>46077</v>
      </c>
      <c r="J271" s="48" t="s">
        <v>324</v>
      </c>
      <c r="K271" s="39" t="s">
        <v>43</v>
      </c>
      <c r="L271" s="39" t="s">
        <v>1869</v>
      </c>
      <c r="M271" s="39" t="s">
        <v>45</v>
      </c>
      <c r="N271" s="39" t="s">
        <v>1842</v>
      </c>
      <c r="O271" s="39" t="s">
        <v>96</v>
      </c>
      <c r="P271" s="39"/>
      <c r="Q271" s="39"/>
      <c r="R271" s="39"/>
      <c r="S271" s="39"/>
      <c r="T271" s="36" t="s">
        <v>327</v>
      </c>
      <c r="U271" s="40">
        <v>46077</v>
      </c>
      <c r="V271" s="39" t="s">
        <v>1870</v>
      </c>
      <c r="W271" s="39" t="s">
        <v>435</v>
      </c>
      <c r="X271" s="39" t="s">
        <v>1871</v>
      </c>
      <c r="Y271" s="39" t="s">
        <v>1872</v>
      </c>
      <c r="Z271" s="36" t="s">
        <v>55</v>
      </c>
      <c r="AA271" s="40">
        <v>46189</v>
      </c>
      <c r="AB271" s="39" t="s">
        <v>56</v>
      </c>
      <c r="AC271" s="39" t="s">
        <v>68</v>
      </c>
      <c r="AD271" s="39" t="s">
        <v>58</v>
      </c>
      <c r="AE271" s="39" t="s">
        <v>59</v>
      </c>
      <c r="AF271" s="39" t="s">
        <v>60</v>
      </c>
      <c r="AG271" s="14"/>
      <c r="AH271" s="14"/>
    </row>
    <row r="272" spans="1:34" ht="15" customHeight="1" x14ac:dyDescent="0.2">
      <c r="A272" s="36" t="s">
        <v>2273</v>
      </c>
      <c r="B272" s="39" t="s">
        <v>37</v>
      </c>
      <c r="C272" s="39" t="s">
        <v>197</v>
      </c>
      <c r="D272" s="36" t="s">
        <v>39</v>
      </c>
      <c r="E272" s="36" t="s">
        <v>1873</v>
      </c>
      <c r="F272" s="46" t="s">
        <v>1874</v>
      </c>
      <c r="G272" s="36">
        <f>VLOOKUP(F272,'[1]Saldos de Cartera'!$E$8:$S$343,15,0)</f>
        <v>20788.13</v>
      </c>
      <c r="H272" s="36" t="s">
        <v>42</v>
      </c>
      <c r="I272" s="47">
        <v>46077</v>
      </c>
      <c r="J272" s="48" t="s">
        <v>324</v>
      </c>
      <c r="K272" s="39" t="s">
        <v>43</v>
      </c>
      <c r="L272" s="39" t="s">
        <v>1875</v>
      </c>
      <c r="M272" s="39" t="s">
        <v>45</v>
      </c>
      <c r="N272" s="39" t="s">
        <v>1842</v>
      </c>
      <c r="O272" s="39" t="s">
        <v>96</v>
      </c>
      <c r="P272" s="39"/>
      <c r="Q272" s="39"/>
      <c r="R272" s="39"/>
      <c r="S272" s="39"/>
      <c r="T272" s="36" t="s">
        <v>327</v>
      </c>
      <c r="U272" s="40">
        <v>46077</v>
      </c>
      <c r="V272" s="39" t="s">
        <v>1870</v>
      </c>
      <c r="W272" s="39" t="s">
        <v>435</v>
      </c>
      <c r="X272" s="39" t="s">
        <v>1871</v>
      </c>
      <c r="Y272" s="39" t="s">
        <v>1872</v>
      </c>
      <c r="Z272" s="36" t="s">
        <v>55</v>
      </c>
      <c r="AA272" s="40">
        <v>46189</v>
      </c>
      <c r="AB272" s="39" t="s">
        <v>56</v>
      </c>
      <c r="AC272" s="39" t="s">
        <v>68</v>
      </c>
      <c r="AD272" s="39" t="s">
        <v>58</v>
      </c>
      <c r="AE272" s="39" t="s">
        <v>59</v>
      </c>
      <c r="AF272" s="39" t="s">
        <v>60</v>
      </c>
      <c r="AG272" s="14"/>
      <c r="AH272" s="14"/>
    </row>
    <row r="273" spans="1:34" ht="15" customHeight="1" x14ac:dyDescent="0.2">
      <c r="A273" s="36" t="s">
        <v>2273</v>
      </c>
      <c r="B273" s="39" t="s">
        <v>37</v>
      </c>
      <c r="C273" s="39" t="s">
        <v>197</v>
      </c>
      <c r="D273" s="36" t="s">
        <v>39</v>
      </c>
      <c r="E273" s="36" t="s">
        <v>1873</v>
      </c>
      <c r="F273" s="46" t="s">
        <v>1876</v>
      </c>
      <c r="G273" s="36">
        <f>VLOOKUP(F273,'[1]Saldos de Cartera'!$E$8:$S$343,15,0)</f>
        <v>29482.58</v>
      </c>
      <c r="H273" s="36" t="s">
        <v>42</v>
      </c>
      <c r="I273" s="47">
        <v>46077</v>
      </c>
      <c r="J273" s="48" t="s">
        <v>324</v>
      </c>
      <c r="K273" s="39" t="s">
        <v>43</v>
      </c>
      <c r="L273" s="39" t="s">
        <v>1877</v>
      </c>
      <c r="M273" s="39" t="s">
        <v>45</v>
      </c>
      <c r="N273" s="39" t="s">
        <v>1842</v>
      </c>
      <c r="O273" s="39" t="s">
        <v>96</v>
      </c>
      <c r="P273" s="39"/>
      <c r="Q273" s="39"/>
      <c r="R273" s="39"/>
      <c r="S273" s="39"/>
      <c r="T273" s="36" t="s">
        <v>327</v>
      </c>
      <c r="U273" s="40">
        <v>46077</v>
      </c>
      <c r="V273" s="39" t="s">
        <v>1870</v>
      </c>
      <c r="W273" s="39" t="s">
        <v>435</v>
      </c>
      <c r="X273" s="39" t="s">
        <v>1871</v>
      </c>
      <c r="Y273" s="39" t="s">
        <v>1872</v>
      </c>
      <c r="Z273" s="36" t="s">
        <v>55</v>
      </c>
      <c r="AA273" s="40">
        <v>46189</v>
      </c>
      <c r="AB273" s="39" t="s">
        <v>56</v>
      </c>
      <c r="AC273" s="39" t="s">
        <v>68</v>
      </c>
      <c r="AD273" s="39" t="s">
        <v>58</v>
      </c>
      <c r="AE273" s="39" t="s">
        <v>59</v>
      </c>
      <c r="AF273" s="39" t="s">
        <v>60</v>
      </c>
      <c r="AG273" s="14"/>
      <c r="AH273" s="14"/>
    </row>
    <row r="274" spans="1:34" ht="15" customHeight="1" x14ac:dyDescent="0.2">
      <c r="A274" s="36" t="s">
        <v>1052</v>
      </c>
      <c r="B274" s="39" t="s">
        <v>37</v>
      </c>
      <c r="C274" s="39" t="s">
        <v>197</v>
      </c>
      <c r="D274" s="36" t="s">
        <v>39</v>
      </c>
      <c r="E274" s="36" t="s">
        <v>1878</v>
      </c>
      <c r="F274" s="46" t="s">
        <v>1879</v>
      </c>
      <c r="G274" s="36">
        <f>VLOOKUP(F274,'[1]Saldos de Cartera'!$E$8:$S$343,15,0)</f>
        <v>36753.160000000003</v>
      </c>
      <c r="H274" s="36" t="s">
        <v>42</v>
      </c>
      <c r="I274" s="47">
        <v>46077</v>
      </c>
      <c r="J274" s="48" t="s">
        <v>324</v>
      </c>
      <c r="K274" s="39" t="s">
        <v>43</v>
      </c>
      <c r="L274" s="39" t="s">
        <v>1880</v>
      </c>
      <c r="M274" s="39" t="s">
        <v>45</v>
      </c>
      <c r="N274" s="39" t="s">
        <v>1842</v>
      </c>
      <c r="O274" s="39" t="s">
        <v>96</v>
      </c>
      <c r="P274" s="39"/>
      <c r="Q274" s="39"/>
      <c r="R274" s="39"/>
      <c r="S274" s="39"/>
      <c r="T274" s="36" t="s">
        <v>327</v>
      </c>
      <c r="U274" s="40">
        <v>46077</v>
      </c>
      <c r="V274" s="39" t="s">
        <v>1870</v>
      </c>
      <c r="W274" s="39" t="s">
        <v>435</v>
      </c>
      <c r="X274" s="39" t="s">
        <v>1871</v>
      </c>
      <c r="Y274" s="39" t="s">
        <v>1872</v>
      </c>
      <c r="Z274" s="36" t="s">
        <v>55</v>
      </c>
      <c r="AA274" s="40">
        <v>46189</v>
      </c>
      <c r="AB274" s="39" t="s">
        <v>56</v>
      </c>
      <c r="AC274" s="39" t="s">
        <v>68</v>
      </c>
      <c r="AD274" s="39" t="s">
        <v>58</v>
      </c>
      <c r="AE274" s="39" t="s">
        <v>59</v>
      </c>
      <c r="AF274" s="39" t="s">
        <v>60</v>
      </c>
      <c r="AG274" s="14"/>
      <c r="AH274" s="14"/>
    </row>
    <row r="275" spans="1:34" ht="15" customHeight="1" x14ac:dyDescent="0.2">
      <c r="A275" s="36" t="s">
        <v>839</v>
      </c>
      <c r="B275" s="36" t="s">
        <v>37</v>
      </c>
      <c r="C275" s="36" t="s">
        <v>38</v>
      </c>
      <c r="D275" s="36" t="s">
        <v>39</v>
      </c>
      <c r="E275" s="36" t="s">
        <v>1881</v>
      </c>
      <c r="F275" s="46" t="s">
        <v>1882</v>
      </c>
      <c r="G275" s="36">
        <f>VLOOKUP(F275,'[1]Saldos de Cartera'!$E$8:$S$343,15,0)</f>
        <v>66608.800000000003</v>
      </c>
      <c r="H275" s="36" t="s">
        <v>42</v>
      </c>
      <c r="I275" s="47">
        <v>46078</v>
      </c>
      <c r="J275" s="48" t="s">
        <v>2500</v>
      </c>
      <c r="K275" s="39" t="s">
        <v>43</v>
      </c>
      <c r="L275" s="39" t="s">
        <v>1883</v>
      </c>
      <c r="M275" s="39" t="s">
        <v>45</v>
      </c>
      <c r="N275" s="39" t="s">
        <v>1884</v>
      </c>
      <c r="O275" s="36" t="s">
        <v>47</v>
      </c>
      <c r="P275" s="40">
        <v>46070</v>
      </c>
      <c r="Q275" s="39" t="s">
        <v>1885</v>
      </c>
      <c r="R275" s="39">
        <v>718449</v>
      </c>
      <c r="S275" s="39" t="s">
        <v>49</v>
      </c>
      <c r="T275" s="36" t="s">
        <v>50</v>
      </c>
      <c r="U275" s="40">
        <v>46175</v>
      </c>
      <c r="V275" s="39" t="s">
        <v>1886</v>
      </c>
      <c r="W275" s="39" t="s">
        <v>435</v>
      </c>
      <c r="X275" s="39" t="s">
        <v>1887</v>
      </c>
      <c r="Y275" s="39" t="s">
        <v>1888</v>
      </c>
      <c r="Z275" s="39" t="s">
        <v>80</v>
      </c>
      <c r="AA275" s="40">
        <v>46189</v>
      </c>
      <c r="AB275" s="39" t="s">
        <v>56</v>
      </c>
      <c r="AC275" s="39" t="s">
        <v>68</v>
      </c>
      <c r="AD275" s="39" t="s">
        <v>69</v>
      </c>
      <c r="AE275" s="39" t="s">
        <v>59</v>
      </c>
      <c r="AF275" s="39" t="s">
        <v>60</v>
      </c>
      <c r="AG275" s="14"/>
      <c r="AH275" s="14"/>
    </row>
    <row r="276" spans="1:34" ht="15" customHeight="1" x14ac:dyDescent="0.2">
      <c r="A276" s="36" t="s">
        <v>369</v>
      </c>
      <c r="B276" s="36" t="s">
        <v>37</v>
      </c>
      <c r="C276" s="36" t="s">
        <v>38</v>
      </c>
      <c r="D276" s="36" t="s">
        <v>39</v>
      </c>
      <c r="E276" s="36" t="s">
        <v>1889</v>
      </c>
      <c r="F276" s="46" t="s">
        <v>1890</v>
      </c>
      <c r="G276" s="36">
        <f>VLOOKUP(F276,'[1]Saldos de Cartera'!$E$8:$S$343,15,0)</f>
        <v>84341.85</v>
      </c>
      <c r="H276" s="36" t="s">
        <v>42</v>
      </c>
      <c r="I276" s="47">
        <v>46079</v>
      </c>
      <c r="J276" s="48" t="s">
        <v>2501</v>
      </c>
      <c r="K276" s="39" t="s">
        <v>43</v>
      </c>
      <c r="L276" s="39" t="s">
        <v>1891</v>
      </c>
      <c r="M276" s="39" t="s">
        <v>45</v>
      </c>
      <c r="N276" s="39" t="s">
        <v>1892</v>
      </c>
      <c r="O276" s="36" t="s">
        <v>47</v>
      </c>
      <c r="P276" s="40">
        <v>46079</v>
      </c>
      <c r="Q276" s="39" t="s">
        <v>1893</v>
      </c>
      <c r="R276" s="39">
        <v>305240</v>
      </c>
      <c r="S276" s="39" t="s">
        <v>66</v>
      </c>
      <c r="T276" s="39"/>
      <c r="U276" s="39"/>
      <c r="V276" s="39"/>
      <c r="W276" s="39"/>
      <c r="X276" s="39" t="s">
        <v>1894</v>
      </c>
      <c r="Y276" s="39"/>
      <c r="Z276" s="36" t="s">
        <v>55</v>
      </c>
      <c r="AA276" s="40">
        <v>46189</v>
      </c>
      <c r="AB276" s="39" t="s">
        <v>56</v>
      </c>
      <c r="AC276" s="39" t="s">
        <v>68</v>
      </c>
      <c r="AD276" s="39" t="s">
        <v>69</v>
      </c>
      <c r="AE276" s="39" t="s">
        <v>59</v>
      </c>
      <c r="AF276" s="39" t="s">
        <v>60</v>
      </c>
      <c r="AG276" s="14"/>
      <c r="AH276" s="14"/>
    </row>
    <row r="277" spans="1:34" ht="15" customHeight="1" x14ac:dyDescent="0.2">
      <c r="A277" s="36" t="s">
        <v>1460</v>
      </c>
      <c r="B277" s="39" t="s">
        <v>37</v>
      </c>
      <c r="C277" s="39" t="s">
        <v>197</v>
      </c>
      <c r="D277" s="36" t="s">
        <v>39</v>
      </c>
      <c r="E277" s="36" t="s">
        <v>1895</v>
      </c>
      <c r="F277" s="46" t="s">
        <v>1896</v>
      </c>
      <c r="G277" s="36">
        <f>VLOOKUP(F277,'[1]Saldos de Cartera'!$E$8:$S$343,15,0)</f>
        <v>20308.830000000002</v>
      </c>
      <c r="H277" s="36" t="s">
        <v>42</v>
      </c>
      <c r="I277" s="47">
        <v>46079</v>
      </c>
      <c r="J277" s="48" t="s">
        <v>2502</v>
      </c>
      <c r="K277" s="39" t="s">
        <v>43</v>
      </c>
      <c r="L277" s="39" t="s">
        <v>1897</v>
      </c>
      <c r="M277" s="39" t="s">
        <v>45</v>
      </c>
      <c r="N277" s="39" t="s">
        <v>118</v>
      </c>
      <c r="O277" s="36" t="s">
        <v>47</v>
      </c>
      <c r="P277" s="40">
        <v>46079</v>
      </c>
      <c r="Q277" s="39" t="s">
        <v>1898</v>
      </c>
      <c r="R277" s="39">
        <v>445837</v>
      </c>
      <c r="S277" s="39" t="s">
        <v>66</v>
      </c>
      <c r="T277" s="39"/>
      <c r="U277" s="39"/>
      <c r="V277" s="39"/>
      <c r="W277" s="39"/>
      <c r="X277" s="39" t="s">
        <v>1899</v>
      </c>
      <c r="Y277" s="39"/>
      <c r="Z277" s="36" t="s">
        <v>122</v>
      </c>
      <c r="AA277" s="40">
        <v>46189</v>
      </c>
      <c r="AB277" s="39" t="s">
        <v>56</v>
      </c>
      <c r="AC277" s="39" t="s">
        <v>68</v>
      </c>
      <c r="AD277" s="39" t="s">
        <v>69</v>
      </c>
      <c r="AE277" s="39" t="s">
        <v>59</v>
      </c>
      <c r="AF277" s="39" t="s">
        <v>99</v>
      </c>
      <c r="AG277" s="14"/>
      <c r="AH277" s="14"/>
    </row>
    <row r="278" spans="1:34" ht="15" customHeight="1" x14ac:dyDescent="0.2">
      <c r="A278" s="36" t="s">
        <v>369</v>
      </c>
      <c r="B278" s="36" t="s">
        <v>37</v>
      </c>
      <c r="C278" s="36" t="s">
        <v>38</v>
      </c>
      <c r="D278" s="36" t="s">
        <v>39</v>
      </c>
      <c r="E278" s="36" t="s">
        <v>1900</v>
      </c>
      <c r="F278" s="46" t="s">
        <v>1901</v>
      </c>
      <c r="G278" s="36">
        <f>VLOOKUP(F278,'[1]Saldos de Cartera'!$E$8:$S$343,15,0)</f>
        <v>47353.9</v>
      </c>
      <c r="H278" s="36" t="s">
        <v>42</v>
      </c>
      <c r="I278" s="47">
        <v>46080</v>
      </c>
      <c r="J278" s="48" t="s">
        <v>2503</v>
      </c>
      <c r="K278" s="39" t="s">
        <v>43</v>
      </c>
      <c r="L278" s="39" t="s">
        <v>1902</v>
      </c>
      <c r="M278" s="39" t="s">
        <v>45</v>
      </c>
      <c r="N278" s="39" t="s">
        <v>118</v>
      </c>
      <c r="O278" s="36" t="s">
        <v>47</v>
      </c>
      <c r="P278" s="40">
        <v>46080</v>
      </c>
      <c r="Q278" s="39" t="s">
        <v>1903</v>
      </c>
      <c r="R278" s="39">
        <v>822915</v>
      </c>
      <c r="S278" s="39" t="s">
        <v>49</v>
      </c>
      <c r="T278" s="36" t="s">
        <v>50</v>
      </c>
      <c r="U278" s="40">
        <v>46142</v>
      </c>
      <c r="V278" s="39" t="s">
        <v>1904</v>
      </c>
      <c r="W278" s="39" t="s">
        <v>88</v>
      </c>
      <c r="X278" s="39" t="s">
        <v>1905</v>
      </c>
      <c r="Y278" s="39" t="s">
        <v>780</v>
      </c>
      <c r="Z278" s="36" t="s">
        <v>55</v>
      </c>
      <c r="AA278" s="40">
        <v>46189</v>
      </c>
      <c r="AB278" s="39" t="s">
        <v>56</v>
      </c>
      <c r="AC278" s="39" t="s">
        <v>68</v>
      </c>
      <c r="AD278" s="39" t="s">
        <v>69</v>
      </c>
      <c r="AE278" s="39" t="s">
        <v>59</v>
      </c>
      <c r="AF278" s="39" t="s">
        <v>60</v>
      </c>
      <c r="AG278" s="14"/>
      <c r="AH278" s="14"/>
    </row>
    <row r="279" spans="1:34" ht="15" customHeight="1" x14ac:dyDescent="0.2">
      <c r="A279" s="36" t="s">
        <v>369</v>
      </c>
      <c r="B279" s="36" t="s">
        <v>37</v>
      </c>
      <c r="C279" s="36" t="s">
        <v>38</v>
      </c>
      <c r="D279" s="36" t="s">
        <v>39</v>
      </c>
      <c r="E279" s="36" t="s">
        <v>1816</v>
      </c>
      <c r="F279" s="46" t="s">
        <v>1906</v>
      </c>
      <c r="G279" s="36">
        <f>VLOOKUP(F279,'[1]Saldos de Cartera'!$E$8:$S$343,15,0)</f>
        <v>34044.36</v>
      </c>
      <c r="H279" s="36" t="s">
        <v>42</v>
      </c>
      <c r="I279" s="47">
        <v>46086</v>
      </c>
      <c r="J279" s="48" t="s">
        <v>2504</v>
      </c>
      <c r="K279" s="39" t="s">
        <v>43</v>
      </c>
      <c r="L279" s="39" t="s">
        <v>1907</v>
      </c>
      <c r="M279" s="39" t="s">
        <v>45</v>
      </c>
      <c r="N279" s="39" t="s">
        <v>1908</v>
      </c>
      <c r="O279" s="36" t="s">
        <v>47</v>
      </c>
      <c r="P279" s="40">
        <v>46086</v>
      </c>
      <c r="Q279" s="39" t="s">
        <v>1909</v>
      </c>
      <c r="R279" s="39">
        <v>473222</v>
      </c>
      <c r="S279" s="39" t="s">
        <v>49</v>
      </c>
      <c r="T279" s="36" t="s">
        <v>50</v>
      </c>
      <c r="U279" s="40">
        <v>46167</v>
      </c>
      <c r="V279" s="39" t="s">
        <v>1910</v>
      </c>
      <c r="W279" s="39" t="s">
        <v>88</v>
      </c>
      <c r="X279" s="39" t="s">
        <v>1911</v>
      </c>
      <c r="Y279" s="39" t="s">
        <v>1912</v>
      </c>
      <c r="Z279" s="36" t="s">
        <v>55</v>
      </c>
      <c r="AA279" s="40">
        <v>46190</v>
      </c>
      <c r="AB279" s="39" t="s">
        <v>56</v>
      </c>
      <c r="AC279" s="39" t="s">
        <v>68</v>
      </c>
      <c r="AD279" s="39" t="s">
        <v>69</v>
      </c>
      <c r="AE279" s="39" t="s">
        <v>59</v>
      </c>
      <c r="AF279" s="39" t="s">
        <v>60</v>
      </c>
      <c r="AG279" s="1"/>
      <c r="AH279" s="1"/>
    </row>
    <row r="280" spans="1:34" ht="15" customHeight="1" x14ac:dyDescent="0.2">
      <c r="A280" s="36" t="s">
        <v>1252</v>
      </c>
      <c r="B280" s="39" t="s">
        <v>37</v>
      </c>
      <c r="C280" s="39" t="s">
        <v>197</v>
      </c>
      <c r="D280" s="36" t="s">
        <v>39</v>
      </c>
      <c r="E280" s="36" t="s">
        <v>1913</v>
      </c>
      <c r="F280" s="46" t="s">
        <v>1914</v>
      </c>
      <c r="G280" s="36">
        <f>VLOOKUP(F280,'[1]Saldos de Cartera'!$E$8:$S$343,15,0)</f>
        <v>23103.9</v>
      </c>
      <c r="H280" s="36" t="s">
        <v>42</v>
      </c>
      <c r="I280" s="47">
        <v>46093</v>
      </c>
      <c r="J280" s="48" t="s">
        <v>2505</v>
      </c>
      <c r="K280" s="39" t="s">
        <v>43</v>
      </c>
      <c r="L280" s="39" t="s">
        <v>1915</v>
      </c>
      <c r="M280" s="39" t="s">
        <v>45</v>
      </c>
      <c r="N280" s="39" t="s">
        <v>1908</v>
      </c>
      <c r="O280" s="36" t="s">
        <v>47</v>
      </c>
      <c r="P280" s="40">
        <v>46093</v>
      </c>
      <c r="Q280" s="39" t="s">
        <v>1916</v>
      </c>
      <c r="R280" s="39">
        <v>187439</v>
      </c>
      <c r="S280" s="39" t="s">
        <v>49</v>
      </c>
      <c r="T280" s="36" t="s">
        <v>50</v>
      </c>
      <c r="U280" s="40">
        <v>46183</v>
      </c>
      <c r="V280" s="39" t="s">
        <v>2543</v>
      </c>
      <c r="W280" s="39" t="s">
        <v>435</v>
      </c>
      <c r="X280" s="39" t="s">
        <v>1917</v>
      </c>
      <c r="Y280" s="39" t="s">
        <v>1918</v>
      </c>
      <c r="Z280" s="36" t="s">
        <v>55</v>
      </c>
      <c r="AA280" s="40">
        <v>46190</v>
      </c>
      <c r="AB280" s="39" t="s">
        <v>56</v>
      </c>
      <c r="AC280" s="39" t="s">
        <v>68</v>
      </c>
      <c r="AD280" s="39" t="s">
        <v>69</v>
      </c>
      <c r="AE280" s="39" t="s">
        <v>59</v>
      </c>
      <c r="AF280" s="39" t="s">
        <v>60</v>
      </c>
      <c r="AG280" s="1"/>
      <c r="AH280" s="1"/>
    </row>
    <row r="281" spans="1:34" ht="15" customHeight="1" x14ac:dyDescent="0.2">
      <c r="A281" s="36" t="s">
        <v>36</v>
      </c>
      <c r="B281" s="36" t="s">
        <v>37</v>
      </c>
      <c r="C281" s="36" t="s">
        <v>38</v>
      </c>
      <c r="D281" s="36" t="s">
        <v>39</v>
      </c>
      <c r="E281" s="36" t="s">
        <v>1919</v>
      </c>
      <c r="F281" s="46" t="s">
        <v>1920</v>
      </c>
      <c r="G281" s="36">
        <f>VLOOKUP(F281,'[1]Saldos de Cartera'!$E$8:$S$343,15,0)</f>
        <v>18671.060000000001</v>
      </c>
      <c r="H281" s="36" t="s">
        <v>42</v>
      </c>
      <c r="I281" s="47">
        <v>46107</v>
      </c>
      <c r="J281" s="48" t="s">
        <v>2506</v>
      </c>
      <c r="K281" s="39" t="s">
        <v>43</v>
      </c>
      <c r="L281" s="39" t="s">
        <v>1921</v>
      </c>
      <c r="M281" s="39" t="s">
        <v>45</v>
      </c>
      <c r="N281" s="39" t="s">
        <v>1321</v>
      </c>
      <c r="O281" s="36" t="s">
        <v>47</v>
      </c>
      <c r="P281" s="40">
        <v>46107</v>
      </c>
      <c r="Q281" s="39" t="s">
        <v>1922</v>
      </c>
      <c r="R281" s="39">
        <v>736249</v>
      </c>
      <c r="S281" s="39" t="s">
        <v>66</v>
      </c>
      <c r="T281" s="39"/>
      <c r="U281" s="39"/>
      <c r="V281" s="39"/>
      <c r="W281" s="39"/>
      <c r="X281" s="39" t="s">
        <v>1923</v>
      </c>
      <c r="Y281" s="39"/>
      <c r="Z281" s="36" t="s">
        <v>55</v>
      </c>
      <c r="AA281" s="40">
        <v>46190</v>
      </c>
      <c r="AB281" s="39" t="s">
        <v>56</v>
      </c>
      <c r="AC281" s="39" t="s">
        <v>68</v>
      </c>
      <c r="AD281" s="39" t="s">
        <v>69</v>
      </c>
      <c r="AE281" s="39" t="s">
        <v>59</v>
      </c>
      <c r="AF281" s="39" t="s">
        <v>99</v>
      </c>
      <c r="AG281" s="1"/>
      <c r="AH281" s="1"/>
    </row>
    <row r="282" spans="1:34" ht="15" customHeight="1" x14ac:dyDescent="0.2">
      <c r="A282" s="36" t="s">
        <v>36</v>
      </c>
      <c r="B282" s="36" t="s">
        <v>37</v>
      </c>
      <c r="C282" s="36" t="s">
        <v>38</v>
      </c>
      <c r="D282" s="36" t="s">
        <v>39</v>
      </c>
      <c r="E282" s="36" t="s">
        <v>1924</v>
      </c>
      <c r="F282" s="46" t="s">
        <v>1925</v>
      </c>
      <c r="G282" s="36">
        <f>VLOOKUP(F282,'[1]Saldos de Cartera'!$E$8:$S$343,15,0)</f>
        <v>26753.29</v>
      </c>
      <c r="H282" s="36" t="s">
        <v>42</v>
      </c>
      <c r="I282" s="47">
        <v>46111</v>
      </c>
      <c r="J282" s="48" t="s">
        <v>2507</v>
      </c>
      <c r="K282" s="39" t="s">
        <v>43</v>
      </c>
      <c r="L282" s="39" t="s">
        <v>1926</v>
      </c>
      <c r="M282" s="39" t="s">
        <v>45</v>
      </c>
      <c r="N282" s="39" t="s">
        <v>1908</v>
      </c>
      <c r="O282" s="36" t="s">
        <v>47</v>
      </c>
      <c r="P282" s="40">
        <v>46111</v>
      </c>
      <c r="Q282" s="39" t="s">
        <v>1927</v>
      </c>
      <c r="R282" s="39">
        <v>633490</v>
      </c>
      <c r="S282" s="39" t="s">
        <v>49</v>
      </c>
      <c r="T282" s="36" t="s">
        <v>50</v>
      </c>
      <c r="U282" s="40">
        <v>46167</v>
      </c>
      <c r="V282" s="39" t="s">
        <v>1928</v>
      </c>
      <c r="W282" s="39" t="s">
        <v>52</v>
      </c>
      <c r="X282" s="39" t="s">
        <v>1929</v>
      </c>
      <c r="Y282" s="39" t="s">
        <v>1930</v>
      </c>
      <c r="Z282" s="39" t="s">
        <v>80</v>
      </c>
      <c r="AA282" s="40">
        <v>46190</v>
      </c>
      <c r="AB282" s="39" t="s">
        <v>56</v>
      </c>
      <c r="AC282" s="39" t="s">
        <v>68</v>
      </c>
      <c r="AD282" s="39" t="s">
        <v>69</v>
      </c>
      <c r="AE282" s="39" t="s">
        <v>59</v>
      </c>
      <c r="AF282" s="39" t="s">
        <v>60</v>
      </c>
      <c r="AG282" s="1"/>
      <c r="AH282" s="1"/>
    </row>
    <row r="283" spans="1:34" ht="15" customHeight="1" x14ac:dyDescent="0.2">
      <c r="A283" s="36" t="s">
        <v>196</v>
      </c>
      <c r="B283" s="39" t="s">
        <v>37</v>
      </c>
      <c r="C283" s="39" t="s">
        <v>197</v>
      </c>
      <c r="D283" s="36" t="s">
        <v>39</v>
      </c>
      <c r="E283" s="36" t="s">
        <v>1931</v>
      </c>
      <c r="F283" s="46" t="s">
        <v>1932</v>
      </c>
      <c r="G283" s="36">
        <f>VLOOKUP(F283,'[1]Saldos de Cartera'!$E$8:$S$343,15,0)</f>
        <v>60273.91</v>
      </c>
      <c r="H283" s="36" t="s">
        <v>42</v>
      </c>
      <c r="I283" s="47">
        <v>46112</v>
      </c>
      <c r="J283" s="48" t="s">
        <v>2508</v>
      </c>
      <c r="K283" s="39" t="s">
        <v>72</v>
      </c>
      <c r="L283" s="39" t="s">
        <v>1933</v>
      </c>
      <c r="M283" s="39" t="s">
        <v>45</v>
      </c>
      <c r="N283" s="39" t="s">
        <v>1934</v>
      </c>
      <c r="O283" s="36" t="s">
        <v>47</v>
      </c>
      <c r="P283" s="40">
        <v>46112</v>
      </c>
      <c r="Q283" s="39" t="s">
        <v>1935</v>
      </c>
      <c r="R283" s="39">
        <v>164114</v>
      </c>
      <c r="S283" s="39" t="s">
        <v>66</v>
      </c>
      <c r="T283" s="39"/>
      <c r="U283" s="39"/>
      <c r="V283" s="39"/>
      <c r="W283" s="39"/>
      <c r="X283" s="39" t="s">
        <v>1936</v>
      </c>
      <c r="Y283" s="39"/>
      <c r="Z283" s="36" t="s">
        <v>55</v>
      </c>
      <c r="AA283" s="40">
        <v>46190</v>
      </c>
      <c r="AB283" s="39" t="s">
        <v>56</v>
      </c>
      <c r="AC283" s="39" t="s">
        <v>68</v>
      </c>
      <c r="AD283" s="39" t="s">
        <v>69</v>
      </c>
      <c r="AE283" s="39" t="s">
        <v>59</v>
      </c>
      <c r="AF283" s="39" t="s">
        <v>60</v>
      </c>
      <c r="AG283" s="1"/>
      <c r="AH283" s="1"/>
    </row>
    <row r="284" spans="1:34" ht="15" customHeight="1" x14ac:dyDescent="0.2">
      <c r="A284" s="36" t="s">
        <v>839</v>
      </c>
      <c r="B284" s="36" t="s">
        <v>37</v>
      </c>
      <c r="C284" s="36" t="s">
        <v>38</v>
      </c>
      <c r="D284" s="36" t="s">
        <v>39</v>
      </c>
      <c r="E284" s="36" t="s">
        <v>1937</v>
      </c>
      <c r="F284" s="46" t="s">
        <v>1938</v>
      </c>
      <c r="G284" s="36">
        <f>VLOOKUP(F284,'[1]Saldos de Cartera'!$E$8:$S$343,15,0)</f>
        <v>40235.33</v>
      </c>
      <c r="H284" s="36" t="s">
        <v>42</v>
      </c>
      <c r="I284" s="47">
        <v>46058</v>
      </c>
      <c r="J284" s="48" t="s">
        <v>324</v>
      </c>
      <c r="K284" s="39" t="s">
        <v>43</v>
      </c>
      <c r="L284" s="39" t="s">
        <v>1939</v>
      </c>
      <c r="M284" s="39" t="s">
        <v>45</v>
      </c>
      <c r="N284" s="39" t="s">
        <v>1884</v>
      </c>
      <c r="O284" s="39" t="s">
        <v>96</v>
      </c>
      <c r="P284" s="39"/>
      <c r="Q284" s="39"/>
      <c r="R284" s="39"/>
      <c r="S284" s="39"/>
      <c r="T284" s="36" t="s">
        <v>327</v>
      </c>
      <c r="U284" s="40">
        <v>46058</v>
      </c>
      <c r="V284" s="39" t="s">
        <v>1940</v>
      </c>
      <c r="W284" s="39" t="s">
        <v>435</v>
      </c>
      <c r="X284" s="39" t="s">
        <v>1941</v>
      </c>
      <c r="Y284" s="39" t="s">
        <v>1942</v>
      </c>
      <c r="Z284" s="36" t="s">
        <v>55</v>
      </c>
      <c r="AA284" s="40">
        <v>46190</v>
      </c>
      <c r="AB284" s="39" t="s">
        <v>56</v>
      </c>
      <c r="AC284" s="39" t="s">
        <v>68</v>
      </c>
      <c r="AD284" s="39" t="s">
        <v>69</v>
      </c>
      <c r="AE284" s="39" t="s">
        <v>59</v>
      </c>
      <c r="AF284" s="39" t="s">
        <v>60</v>
      </c>
      <c r="AG284" s="1"/>
      <c r="AH284" s="1"/>
    </row>
    <row r="285" spans="1:34" ht="15" customHeight="1" x14ac:dyDescent="0.2">
      <c r="A285" s="36" t="s">
        <v>36</v>
      </c>
      <c r="B285" s="36" t="s">
        <v>37</v>
      </c>
      <c r="C285" s="36" t="s">
        <v>38</v>
      </c>
      <c r="D285" s="36" t="s">
        <v>39</v>
      </c>
      <c r="E285" s="36" t="s">
        <v>1943</v>
      </c>
      <c r="F285" s="46" t="s">
        <v>1944</v>
      </c>
      <c r="G285" s="36">
        <f>VLOOKUP(F285,'[1]Saldos de Cartera'!$E$8:$S$343,15,0)</f>
        <v>47978.51</v>
      </c>
      <c r="H285" s="36" t="s">
        <v>42</v>
      </c>
      <c r="I285" s="47">
        <v>46112</v>
      </c>
      <c r="J285" s="48" t="s">
        <v>2509</v>
      </c>
      <c r="K285" s="39" t="s">
        <v>43</v>
      </c>
      <c r="L285" s="39" t="s">
        <v>1945</v>
      </c>
      <c r="M285" s="39" t="s">
        <v>45</v>
      </c>
      <c r="N285" s="39" t="s">
        <v>1908</v>
      </c>
      <c r="O285" s="36" t="s">
        <v>47</v>
      </c>
      <c r="P285" s="40">
        <v>46112</v>
      </c>
      <c r="Q285" s="39" t="s">
        <v>1946</v>
      </c>
      <c r="R285" s="39">
        <v>823076</v>
      </c>
      <c r="S285" s="39" t="s">
        <v>49</v>
      </c>
      <c r="T285" s="36" t="s">
        <v>50</v>
      </c>
      <c r="U285" s="40">
        <v>46167</v>
      </c>
      <c r="V285" s="39" t="s">
        <v>1947</v>
      </c>
      <c r="W285" s="39" t="s">
        <v>52</v>
      </c>
      <c r="X285" s="39" t="s">
        <v>1948</v>
      </c>
      <c r="Y285" s="39" t="s">
        <v>1949</v>
      </c>
      <c r="Z285" s="36" t="s">
        <v>55</v>
      </c>
      <c r="AA285" s="40">
        <v>46186</v>
      </c>
      <c r="AB285" s="39" t="s">
        <v>56</v>
      </c>
      <c r="AC285" s="39" t="s">
        <v>68</v>
      </c>
      <c r="AD285" s="39" t="s">
        <v>69</v>
      </c>
      <c r="AE285" s="39" t="s">
        <v>59</v>
      </c>
      <c r="AF285" s="39" t="s">
        <v>60</v>
      </c>
      <c r="AG285" s="1"/>
      <c r="AH285" s="1"/>
    </row>
    <row r="286" spans="1:34" ht="15" customHeight="1" x14ac:dyDescent="0.2">
      <c r="A286" s="36" t="s">
        <v>36</v>
      </c>
      <c r="B286" s="36" t="s">
        <v>37</v>
      </c>
      <c r="C286" s="36" t="s">
        <v>38</v>
      </c>
      <c r="D286" s="36" t="s">
        <v>39</v>
      </c>
      <c r="E286" s="36" t="s">
        <v>1950</v>
      </c>
      <c r="F286" s="46" t="s">
        <v>1951</v>
      </c>
      <c r="G286" s="36">
        <f>VLOOKUP(F286,'[1]Saldos de Cartera'!$E$8:$S$343,15,0)</f>
        <v>52791.54</v>
      </c>
      <c r="H286" s="36" t="s">
        <v>42</v>
      </c>
      <c r="I286" s="47">
        <v>46112</v>
      </c>
      <c r="J286" s="48" t="s">
        <v>2510</v>
      </c>
      <c r="K286" s="39" t="s">
        <v>43</v>
      </c>
      <c r="L286" s="39" t="s">
        <v>1952</v>
      </c>
      <c r="M286" s="39" t="s">
        <v>45</v>
      </c>
      <c r="N286" s="39" t="s">
        <v>1953</v>
      </c>
      <c r="O286" s="36" t="s">
        <v>47</v>
      </c>
      <c r="P286" s="40">
        <v>46112</v>
      </c>
      <c r="Q286" s="39" t="s">
        <v>1954</v>
      </c>
      <c r="R286" s="39">
        <v>358962</v>
      </c>
      <c r="S286" s="39" t="s">
        <v>66</v>
      </c>
      <c r="T286" s="39"/>
      <c r="U286" s="39"/>
      <c r="V286" s="39"/>
      <c r="W286" s="39"/>
      <c r="X286" s="39" t="s">
        <v>1955</v>
      </c>
      <c r="Y286" s="39"/>
      <c r="Z286" s="36" t="s">
        <v>55</v>
      </c>
      <c r="AA286" s="40">
        <v>46186</v>
      </c>
      <c r="AB286" s="39" t="s">
        <v>56</v>
      </c>
      <c r="AC286" s="39" t="s">
        <v>68</v>
      </c>
      <c r="AD286" s="39" t="s">
        <v>69</v>
      </c>
      <c r="AE286" s="39" t="s">
        <v>59</v>
      </c>
      <c r="AF286" s="39" t="s">
        <v>60</v>
      </c>
      <c r="AG286" s="1"/>
      <c r="AH286" s="1"/>
    </row>
    <row r="287" spans="1:34" ht="15" customHeight="1" x14ac:dyDescent="0.2">
      <c r="A287" s="36" t="s">
        <v>1252</v>
      </c>
      <c r="B287" s="39" t="s">
        <v>37</v>
      </c>
      <c r="C287" s="39" t="s">
        <v>197</v>
      </c>
      <c r="D287" s="36" t="s">
        <v>39</v>
      </c>
      <c r="E287" s="36" t="s">
        <v>1956</v>
      </c>
      <c r="F287" s="46" t="s">
        <v>1957</v>
      </c>
      <c r="G287" s="36">
        <f>VLOOKUP(F287,'[1]Saldos de Cartera'!$E$8:$S$343,15,0)</f>
        <v>18176.55</v>
      </c>
      <c r="H287" s="36" t="s">
        <v>42</v>
      </c>
      <c r="I287" s="47">
        <v>46113</v>
      </c>
      <c r="J287" s="48" t="s">
        <v>2511</v>
      </c>
      <c r="K287" s="39" t="s">
        <v>43</v>
      </c>
      <c r="L287" s="39" t="s">
        <v>1958</v>
      </c>
      <c r="M287" s="39" t="s">
        <v>74</v>
      </c>
      <c r="N287" s="39" t="s">
        <v>1321</v>
      </c>
      <c r="O287" s="36" t="s">
        <v>47</v>
      </c>
      <c r="P287" s="40">
        <v>46113</v>
      </c>
      <c r="Q287" s="39" t="s">
        <v>1959</v>
      </c>
      <c r="R287" s="39">
        <v>351195</v>
      </c>
      <c r="S287" s="39" t="s">
        <v>66</v>
      </c>
      <c r="T287" s="39"/>
      <c r="U287" s="39"/>
      <c r="V287" s="39"/>
      <c r="W287" s="39"/>
      <c r="X287" s="39" t="s">
        <v>1960</v>
      </c>
      <c r="Y287" s="39"/>
      <c r="Z287" s="36" t="s">
        <v>55</v>
      </c>
      <c r="AA287" s="40">
        <v>46186</v>
      </c>
      <c r="AB287" s="39" t="s">
        <v>56</v>
      </c>
      <c r="AC287" s="39" t="s">
        <v>68</v>
      </c>
      <c r="AD287" s="39" t="s">
        <v>69</v>
      </c>
      <c r="AE287" s="39" t="s">
        <v>59</v>
      </c>
      <c r="AF287" s="39" t="s">
        <v>99</v>
      </c>
      <c r="AG287" s="1"/>
      <c r="AH287" s="1"/>
    </row>
    <row r="288" spans="1:34" ht="15" customHeight="1" x14ac:dyDescent="0.2">
      <c r="A288" s="36" t="s">
        <v>839</v>
      </c>
      <c r="B288" s="36" t="s">
        <v>37</v>
      </c>
      <c r="C288" s="36" t="s">
        <v>38</v>
      </c>
      <c r="D288" s="36" t="s">
        <v>39</v>
      </c>
      <c r="E288" s="36" t="s">
        <v>1866</v>
      </c>
      <c r="F288" s="46" t="s">
        <v>1961</v>
      </c>
      <c r="G288" s="36">
        <f>VLOOKUP(F288,'[1]Saldos de Cartera'!$E$8:$S$343,15,0)</f>
        <v>39964.620000000003</v>
      </c>
      <c r="H288" s="36" t="s">
        <v>42</v>
      </c>
      <c r="I288" s="47">
        <v>46113</v>
      </c>
      <c r="J288" s="48" t="s">
        <v>2512</v>
      </c>
      <c r="K288" s="39" t="s">
        <v>43</v>
      </c>
      <c r="L288" s="39" t="s">
        <v>1962</v>
      </c>
      <c r="M288" s="39" t="s">
        <v>45</v>
      </c>
      <c r="N288" s="39" t="s">
        <v>1908</v>
      </c>
      <c r="O288" s="36" t="s">
        <v>47</v>
      </c>
      <c r="P288" s="40">
        <v>46113</v>
      </c>
      <c r="Q288" s="39" t="s">
        <v>1963</v>
      </c>
      <c r="R288" s="39">
        <v>782570</v>
      </c>
      <c r="S288" s="39" t="s">
        <v>66</v>
      </c>
      <c r="T288" s="39"/>
      <c r="U288" s="39"/>
      <c r="V288" s="39"/>
      <c r="W288" s="39"/>
      <c r="X288" s="39" t="s">
        <v>1964</v>
      </c>
      <c r="Y288" s="39"/>
      <c r="Z288" s="36" t="s">
        <v>55</v>
      </c>
      <c r="AA288" s="40">
        <v>46186</v>
      </c>
      <c r="AB288" s="39" t="s">
        <v>56</v>
      </c>
      <c r="AC288" s="39" t="s">
        <v>68</v>
      </c>
      <c r="AD288" s="39" t="s">
        <v>69</v>
      </c>
      <c r="AE288" s="39" t="s">
        <v>59</v>
      </c>
      <c r="AF288" s="39" t="s">
        <v>60</v>
      </c>
      <c r="AG288" s="1"/>
      <c r="AH288" s="1"/>
    </row>
    <row r="289" spans="1:34" ht="15" customHeight="1" x14ac:dyDescent="0.2">
      <c r="A289" s="36" t="s">
        <v>1252</v>
      </c>
      <c r="B289" s="39" t="s">
        <v>37</v>
      </c>
      <c r="C289" s="39" t="s">
        <v>197</v>
      </c>
      <c r="D289" s="36" t="s">
        <v>39</v>
      </c>
      <c r="E289" s="36" t="s">
        <v>1965</v>
      </c>
      <c r="F289" s="46" t="s">
        <v>1966</v>
      </c>
      <c r="G289" s="36">
        <f>VLOOKUP(F289,'[1]Saldos de Cartera'!$E$8:$S$343,15,0)</f>
        <v>19502.810000000001</v>
      </c>
      <c r="H289" s="36" t="s">
        <v>42</v>
      </c>
      <c r="I289" s="47">
        <v>46127</v>
      </c>
      <c r="J289" s="48" t="s">
        <v>2513</v>
      </c>
      <c r="K289" s="39" t="s">
        <v>43</v>
      </c>
      <c r="L289" s="39" t="s">
        <v>1967</v>
      </c>
      <c r="M289" s="39" t="s">
        <v>45</v>
      </c>
      <c r="N289" s="36" t="s">
        <v>118</v>
      </c>
      <c r="O289" s="36" t="s">
        <v>47</v>
      </c>
      <c r="P289" s="40">
        <v>46127</v>
      </c>
      <c r="Q289" s="39" t="s">
        <v>1968</v>
      </c>
      <c r="R289" s="39">
        <v>65269</v>
      </c>
      <c r="S289" s="39" t="s">
        <v>49</v>
      </c>
      <c r="T289" s="36" t="s">
        <v>50</v>
      </c>
      <c r="U289" s="40">
        <v>46192</v>
      </c>
      <c r="V289" s="39" t="s">
        <v>1969</v>
      </c>
      <c r="W289" s="39" t="s">
        <v>88</v>
      </c>
      <c r="X289" s="39" t="s">
        <v>1970</v>
      </c>
      <c r="Y289" s="39" t="s">
        <v>2541</v>
      </c>
      <c r="Z289" s="36" t="s">
        <v>55</v>
      </c>
      <c r="AA289" s="40">
        <v>46186</v>
      </c>
      <c r="AB289" s="39" t="s">
        <v>56</v>
      </c>
      <c r="AC289" s="39" t="s">
        <v>68</v>
      </c>
      <c r="AD289" s="39" t="s">
        <v>69</v>
      </c>
      <c r="AE289" s="39" t="s">
        <v>59</v>
      </c>
      <c r="AF289" s="39" t="s">
        <v>60</v>
      </c>
      <c r="AG289" s="15"/>
      <c r="AH289" s="1"/>
    </row>
    <row r="290" spans="1:34" ht="15" customHeight="1" x14ac:dyDescent="0.2">
      <c r="A290" s="36" t="s">
        <v>36</v>
      </c>
      <c r="B290" s="36" t="s">
        <v>37</v>
      </c>
      <c r="C290" s="36" t="s">
        <v>38</v>
      </c>
      <c r="D290" s="36" t="s">
        <v>39</v>
      </c>
      <c r="E290" s="36" t="s">
        <v>1924</v>
      </c>
      <c r="F290" s="46" t="s">
        <v>1971</v>
      </c>
      <c r="G290" s="36">
        <f>VLOOKUP(F290,'[1]Saldos de Cartera'!$E$8:$S$343,15,0)</f>
        <v>27822.85</v>
      </c>
      <c r="H290" s="36" t="s">
        <v>42</v>
      </c>
      <c r="I290" s="47">
        <v>46139</v>
      </c>
      <c r="J290" s="48" t="s">
        <v>2514</v>
      </c>
      <c r="K290" s="39" t="s">
        <v>72</v>
      </c>
      <c r="L290" s="39" t="s">
        <v>1972</v>
      </c>
      <c r="M290" s="39" t="s">
        <v>74</v>
      </c>
      <c r="N290" s="39" t="s">
        <v>1321</v>
      </c>
      <c r="O290" s="36" t="s">
        <v>47</v>
      </c>
      <c r="P290" s="40">
        <v>46139</v>
      </c>
      <c r="Q290" s="39" t="s">
        <v>1973</v>
      </c>
      <c r="R290" s="39">
        <v>388277</v>
      </c>
      <c r="S290" s="39" t="s">
        <v>66</v>
      </c>
      <c r="T290" s="39"/>
      <c r="U290" s="39"/>
      <c r="V290" s="39"/>
      <c r="W290" s="39"/>
      <c r="X290" s="39" t="s">
        <v>1929</v>
      </c>
      <c r="Y290" s="39"/>
      <c r="Z290" s="36" t="s">
        <v>80</v>
      </c>
      <c r="AA290" s="40">
        <v>46186</v>
      </c>
      <c r="AB290" s="39" t="s">
        <v>56</v>
      </c>
      <c r="AC290" s="39" t="s">
        <v>68</v>
      </c>
      <c r="AD290" s="39" t="s">
        <v>69</v>
      </c>
      <c r="AE290" s="39" t="s">
        <v>59</v>
      </c>
      <c r="AF290" s="39" t="s">
        <v>60</v>
      </c>
      <c r="AG290" s="15"/>
      <c r="AH290" s="1"/>
    </row>
    <row r="291" spans="1:34" ht="15" customHeight="1" x14ac:dyDescent="0.2">
      <c r="A291" s="36" t="s">
        <v>369</v>
      </c>
      <c r="B291" s="36" t="s">
        <v>37</v>
      </c>
      <c r="C291" s="36" t="s">
        <v>38</v>
      </c>
      <c r="D291" s="36" t="s">
        <v>39</v>
      </c>
      <c r="E291" s="36" t="s">
        <v>1974</v>
      </c>
      <c r="F291" s="46" t="s">
        <v>1975</v>
      </c>
      <c r="G291" s="36">
        <f>VLOOKUP(F291,'[1]Saldos de Cartera'!$E$8:$S$343,15,0)</f>
        <v>272804.2</v>
      </c>
      <c r="H291" s="36" t="s">
        <v>42</v>
      </c>
      <c r="I291" s="47">
        <v>46141</v>
      </c>
      <c r="J291" s="48" t="s">
        <v>2515</v>
      </c>
      <c r="K291" s="39" t="s">
        <v>43</v>
      </c>
      <c r="L291" s="39" t="s">
        <v>1976</v>
      </c>
      <c r="M291" s="39" t="s">
        <v>45</v>
      </c>
      <c r="N291" s="39" t="s">
        <v>1977</v>
      </c>
      <c r="O291" s="36" t="s">
        <v>47</v>
      </c>
      <c r="P291" s="40">
        <v>46141</v>
      </c>
      <c r="Q291" s="39" t="s">
        <v>1978</v>
      </c>
      <c r="R291" s="39">
        <v>305333</v>
      </c>
      <c r="S291" s="39" t="s">
        <v>49</v>
      </c>
      <c r="T291" s="36" t="s">
        <v>50</v>
      </c>
      <c r="U291" s="40">
        <v>46175</v>
      </c>
      <c r="V291" s="39" t="s">
        <v>1979</v>
      </c>
      <c r="W291" s="39" t="s">
        <v>88</v>
      </c>
      <c r="X291" s="39" t="s">
        <v>1980</v>
      </c>
      <c r="Y291" s="39" t="s">
        <v>1981</v>
      </c>
      <c r="Z291" s="36" t="s">
        <v>55</v>
      </c>
      <c r="AA291" s="40">
        <v>46186</v>
      </c>
      <c r="AB291" s="39" t="s">
        <v>56</v>
      </c>
      <c r="AC291" s="39" t="s">
        <v>68</v>
      </c>
      <c r="AD291" s="39" t="s">
        <v>69</v>
      </c>
      <c r="AE291" s="39" t="s">
        <v>59</v>
      </c>
      <c r="AF291" s="39" t="s">
        <v>60</v>
      </c>
      <c r="AG291" s="15"/>
      <c r="AH291" s="1"/>
    </row>
    <row r="292" spans="1:34" ht="15" customHeight="1" x14ac:dyDescent="0.2">
      <c r="A292" s="36" t="s">
        <v>369</v>
      </c>
      <c r="B292" s="36" t="s">
        <v>37</v>
      </c>
      <c r="C292" s="36" t="s">
        <v>38</v>
      </c>
      <c r="D292" s="36" t="s">
        <v>39</v>
      </c>
      <c r="E292" s="36" t="s">
        <v>1982</v>
      </c>
      <c r="F292" s="46" t="s">
        <v>1983</v>
      </c>
      <c r="G292" s="36">
        <f>VLOOKUP(F292,'[1]Saldos de Cartera'!$E$8:$S$343,15,0)</f>
        <v>92874.67</v>
      </c>
      <c r="H292" s="36" t="s">
        <v>42</v>
      </c>
      <c r="I292" s="47">
        <v>46141</v>
      </c>
      <c r="J292" s="48" t="s">
        <v>2516</v>
      </c>
      <c r="K292" s="39" t="s">
        <v>43</v>
      </c>
      <c r="L292" s="39" t="s">
        <v>1984</v>
      </c>
      <c r="M292" s="39" t="s">
        <v>45</v>
      </c>
      <c r="N292" s="39" t="s">
        <v>1985</v>
      </c>
      <c r="O292" s="36" t="s">
        <v>47</v>
      </c>
      <c r="P292" s="40">
        <v>46141</v>
      </c>
      <c r="Q292" s="39" t="s">
        <v>1986</v>
      </c>
      <c r="R292" s="39">
        <v>96835</v>
      </c>
      <c r="S292" s="39" t="s">
        <v>66</v>
      </c>
      <c r="T292" s="39"/>
      <c r="U292" s="39"/>
      <c r="V292" s="39"/>
      <c r="W292" s="39"/>
      <c r="X292" s="39" t="s">
        <v>1987</v>
      </c>
      <c r="Y292" s="39"/>
      <c r="Z292" s="36" t="s">
        <v>55</v>
      </c>
      <c r="AA292" s="40">
        <v>46186</v>
      </c>
      <c r="AB292" s="39" t="s">
        <v>56</v>
      </c>
      <c r="AC292" s="39" t="s">
        <v>68</v>
      </c>
      <c r="AD292" s="39" t="s">
        <v>69</v>
      </c>
      <c r="AE292" s="39" t="s">
        <v>59</v>
      </c>
      <c r="AF292" s="39" t="s">
        <v>60</v>
      </c>
      <c r="AG292" s="15"/>
      <c r="AH292" s="1"/>
    </row>
    <row r="293" spans="1:34" ht="15" customHeight="1" x14ac:dyDescent="0.2">
      <c r="A293" s="36" t="s">
        <v>369</v>
      </c>
      <c r="B293" s="36" t="s">
        <v>37</v>
      </c>
      <c r="C293" s="36" t="s">
        <v>38</v>
      </c>
      <c r="D293" s="36" t="s">
        <v>39</v>
      </c>
      <c r="E293" s="36" t="s">
        <v>1988</v>
      </c>
      <c r="F293" s="46" t="s">
        <v>1989</v>
      </c>
      <c r="G293" s="36">
        <f>VLOOKUP(F293,'[1]Saldos de Cartera'!$E$8:$S$343,15,0)</f>
        <v>31258.53</v>
      </c>
      <c r="H293" s="36" t="s">
        <v>42</v>
      </c>
      <c r="I293" s="47">
        <v>46142</v>
      </c>
      <c r="J293" s="48" t="s">
        <v>2517</v>
      </c>
      <c r="K293" s="39" t="s">
        <v>72</v>
      </c>
      <c r="L293" s="39" t="s">
        <v>1990</v>
      </c>
      <c r="M293" s="39" t="s">
        <v>45</v>
      </c>
      <c r="N293" s="39" t="s">
        <v>1908</v>
      </c>
      <c r="O293" s="36" t="s">
        <v>47</v>
      </c>
      <c r="P293" s="40">
        <v>46142</v>
      </c>
      <c r="Q293" s="39" t="s">
        <v>1991</v>
      </c>
      <c r="R293" s="39">
        <v>590936</v>
      </c>
      <c r="S293" s="39" t="s">
        <v>66</v>
      </c>
      <c r="T293" s="39"/>
      <c r="U293" s="39"/>
      <c r="V293" s="39"/>
      <c r="W293" s="39"/>
      <c r="X293" s="39" t="s">
        <v>1992</v>
      </c>
      <c r="Y293" s="39"/>
      <c r="Z293" s="39" t="s">
        <v>80</v>
      </c>
      <c r="AA293" s="40">
        <v>46186</v>
      </c>
      <c r="AB293" s="39" t="s">
        <v>56</v>
      </c>
      <c r="AC293" s="39" t="s">
        <v>68</v>
      </c>
      <c r="AD293" s="39" t="s">
        <v>69</v>
      </c>
      <c r="AE293" s="39" t="s">
        <v>59</v>
      </c>
      <c r="AF293" s="39" t="s">
        <v>60</v>
      </c>
      <c r="AG293" s="1"/>
      <c r="AH293" s="1"/>
    </row>
    <row r="294" spans="1:34" ht="15" customHeight="1" x14ac:dyDescent="0.2">
      <c r="A294" s="36" t="s">
        <v>1252</v>
      </c>
      <c r="B294" s="39" t="s">
        <v>37</v>
      </c>
      <c r="C294" s="39" t="s">
        <v>197</v>
      </c>
      <c r="D294" s="36" t="s">
        <v>39</v>
      </c>
      <c r="E294" s="36" t="s">
        <v>1993</v>
      </c>
      <c r="F294" s="46" t="s">
        <v>1994</v>
      </c>
      <c r="G294" s="36">
        <f>VLOOKUP(F294,'[1]Saldos de Cartera'!$E$8:$S$343,15,0)</f>
        <v>26257.95</v>
      </c>
      <c r="H294" s="36" t="s">
        <v>42</v>
      </c>
      <c r="I294" s="47">
        <v>46146</v>
      </c>
      <c r="J294" s="48" t="s">
        <v>2518</v>
      </c>
      <c r="K294" s="39" t="s">
        <v>43</v>
      </c>
      <c r="L294" s="39" t="s">
        <v>1995</v>
      </c>
      <c r="M294" s="39" t="s">
        <v>74</v>
      </c>
      <c r="N294" s="39" t="s">
        <v>1321</v>
      </c>
      <c r="O294" s="36" t="s">
        <v>47</v>
      </c>
      <c r="P294" s="40">
        <v>46146</v>
      </c>
      <c r="Q294" s="39" t="s">
        <v>1996</v>
      </c>
      <c r="R294" s="39">
        <v>397020</v>
      </c>
      <c r="S294" s="39" t="s">
        <v>66</v>
      </c>
      <c r="T294" s="39"/>
      <c r="U294" s="39"/>
      <c r="V294" s="39"/>
      <c r="W294" s="39"/>
      <c r="X294" s="39" t="s">
        <v>1997</v>
      </c>
      <c r="Y294" s="39"/>
      <c r="Z294" s="39" t="s">
        <v>80</v>
      </c>
      <c r="AA294" s="40">
        <v>46185</v>
      </c>
      <c r="AB294" s="39" t="s">
        <v>1998</v>
      </c>
      <c r="AC294" s="39" t="s">
        <v>68</v>
      </c>
      <c r="AD294" s="39" t="s">
        <v>69</v>
      </c>
      <c r="AE294" s="39" t="s">
        <v>59</v>
      </c>
      <c r="AF294" s="39" t="s">
        <v>99</v>
      </c>
      <c r="AG294" s="1"/>
      <c r="AH294" s="1"/>
    </row>
    <row r="295" spans="1:34" ht="15" customHeight="1" x14ac:dyDescent="0.2">
      <c r="A295" s="36" t="s">
        <v>369</v>
      </c>
      <c r="B295" s="36" t="s">
        <v>37</v>
      </c>
      <c r="C295" s="36" t="s">
        <v>38</v>
      </c>
      <c r="D295" s="36" t="s">
        <v>39</v>
      </c>
      <c r="E295" s="36" t="s">
        <v>1999</v>
      </c>
      <c r="F295" s="71" t="s">
        <v>2000</v>
      </c>
      <c r="G295" s="36">
        <f>VLOOKUP(F295,'[1]Saldos de Cartera'!$E$8:$S$343,15,0)</f>
        <v>24522.639999999999</v>
      </c>
      <c r="H295" s="36" t="s">
        <v>42</v>
      </c>
      <c r="I295" s="47">
        <v>46185</v>
      </c>
      <c r="J295" s="48" t="s">
        <v>2519</v>
      </c>
      <c r="K295" s="39" t="s">
        <v>43</v>
      </c>
      <c r="L295" s="39" t="s">
        <v>2001</v>
      </c>
      <c r="M295" s="39" t="s">
        <v>45</v>
      </c>
      <c r="N295" s="39" t="s">
        <v>1908</v>
      </c>
      <c r="O295" s="36" t="s">
        <v>47</v>
      </c>
      <c r="P295" s="40">
        <v>46185</v>
      </c>
      <c r="Q295" s="39" t="s">
        <v>2002</v>
      </c>
      <c r="R295" s="39">
        <v>843691</v>
      </c>
      <c r="S295" s="39" t="s">
        <v>66</v>
      </c>
      <c r="T295" s="39"/>
      <c r="U295" s="39"/>
      <c r="V295" s="39"/>
      <c r="W295" s="39"/>
      <c r="X295" s="39" t="s">
        <v>2003</v>
      </c>
      <c r="Y295" s="39"/>
      <c r="Z295" s="39" t="s">
        <v>122</v>
      </c>
      <c r="AA295" s="47">
        <v>46203</v>
      </c>
      <c r="AB295" s="39" t="s">
        <v>56</v>
      </c>
      <c r="AC295" s="39" t="s">
        <v>2549</v>
      </c>
      <c r="AD295" s="39" t="s">
        <v>69</v>
      </c>
      <c r="AE295" s="39" t="s">
        <v>59</v>
      </c>
      <c r="AF295" s="39"/>
      <c r="AG295" s="17"/>
      <c r="AH295" s="17"/>
    </row>
    <row r="296" spans="1:34" ht="15" customHeight="1" x14ac:dyDescent="0.2">
      <c r="A296" s="36" t="s">
        <v>2024</v>
      </c>
      <c r="B296" s="36" t="s">
        <v>37</v>
      </c>
      <c r="C296" s="36" t="s">
        <v>38</v>
      </c>
      <c r="D296" s="36" t="s">
        <v>39</v>
      </c>
      <c r="E296" s="36" t="s">
        <v>2004</v>
      </c>
      <c r="F296" s="71" t="s">
        <v>2005</v>
      </c>
      <c r="G296" s="36">
        <f>VLOOKUP(F296,'[1]Saldos de Cartera'!$E$8:$S$343,15,0)</f>
        <v>17780.400000000001</v>
      </c>
      <c r="H296" s="36" t="s">
        <v>42</v>
      </c>
      <c r="I296" s="47">
        <v>46195</v>
      </c>
      <c r="J296" s="48" t="s">
        <v>2520</v>
      </c>
      <c r="K296" s="39" t="s">
        <v>43</v>
      </c>
      <c r="L296" s="39" t="s">
        <v>2006</v>
      </c>
      <c r="M296" s="39" t="s">
        <v>45</v>
      </c>
      <c r="N296" s="39" t="s">
        <v>1908</v>
      </c>
      <c r="O296" s="36" t="s">
        <v>47</v>
      </c>
      <c r="P296" s="40">
        <v>46195</v>
      </c>
      <c r="Q296" s="39" t="s">
        <v>2007</v>
      </c>
      <c r="R296" s="39">
        <v>902056</v>
      </c>
      <c r="S296" s="39" t="s">
        <v>66</v>
      </c>
      <c r="T296" s="39"/>
      <c r="U296" s="39"/>
      <c r="V296" s="39"/>
      <c r="W296" s="39"/>
      <c r="X296" s="39" t="s">
        <v>2008</v>
      </c>
      <c r="Y296" s="39"/>
      <c r="Z296" s="39" t="s">
        <v>122</v>
      </c>
      <c r="AA296" s="47">
        <v>46203</v>
      </c>
      <c r="AB296" s="39" t="s">
        <v>56</v>
      </c>
      <c r="AC296" s="39" t="s">
        <v>2549</v>
      </c>
      <c r="AD296" s="39" t="s">
        <v>69</v>
      </c>
      <c r="AE296" s="39" t="s">
        <v>59</v>
      </c>
      <c r="AF296" s="39"/>
      <c r="AG296" s="17"/>
      <c r="AH296" s="17"/>
    </row>
    <row r="297" spans="1:34" ht="15" customHeight="1" x14ac:dyDescent="0.2">
      <c r="A297" s="36" t="s">
        <v>1460</v>
      </c>
      <c r="B297" s="39" t="s">
        <v>37</v>
      </c>
      <c r="C297" s="39" t="s">
        <v>197</v>
      </c>
      <c r="D297" s="36" t="s">
        <v>39</v>
      </c>
      <c r="E297" s="36" t="s">
        <v>2274</v>
      </c>
      <c r="F297" s="46" t="s">
        <v>2009</v>
      </c>
      <c r="G297" s="36">
        <f>VLOOKUP(F297,'[1]Saldos de Cartera'!$E$8:$S$343,15,0)</f>
        <v>96191.11</v>
      </c>
      <c r="H297" s="36" t="s">
        <v>42</v>
      </c>
      <c r="I297" s="47">
        <v>46199</v>
      </c>
      <c r="J297" s="48" t="s">
        <v>2521</v>
      </c>
      <c r="K297" s="39" t="s">
        <v>43</v>
      </c>
      <c r="L297" s="39" t="s">
        <v>2010</v>
      </c>
      <c r="M297" s="39" t="s">
        <v>45</v>
      </c>
      <c r="N297" s="39" t="s">
        <v>2011</v>
      </c>
      <c r="O297" s="36" t="s">
        <v>47</v>
      </c>
      <c r="P297" s="40">
        <v>46199</v>
      </c>
      <c r="Q297" s="39" t="s">
        <v>2012</v>
      </c>
      <c r="R297" s="39">
        <v>622205</v>
      </c>
      <c r="S297" s="39" t="s">
        <v>66</v>
      </c>
      <c r="T297" s="39"/>
      <c r="U297" s="39"/>
      <c r="V297" s="39"/>
      <c r="W297" s="39"/>
      <c r="X297" s="39" t="s">
        <v>2013</v>
      </c>
      <c r="Y297" s="39"/>
      <c r="Z297" s="39"/>
      <c r="AA297" s="47">
        <v>46203</v>
      </c>
      <c r="AB297" s="39" t="s">
        <v>56</v>
      </c>
      <c r="AC297" s="39" t="s">
        <v>2549</v>
      </c>
      <c r="AD297" s="39" t="s">
        <v>69</v>
      </c>
      <c r="AE297" s="39" t="s">
        <v>59</v>
      </c>
      <c r="AF297" s="39"/>
      <c r="AG297" s="17"/>
      <c r="AH297" s="17"/>
    </row>
    <row r="298" spans="1:34" ht="15" customHeight="1" x14ac:dyDescent="0.2">
      <c r="A298" s="36" t="s">
        <v>839</v>
      </c>
      <c r="B298" s="36" t="s">
        <v>37</v>
      </c>
      <c r="C298" s="36" t="s">
        <v>38</v>
      </c>
      <c r="D298" s="36" t="s">
        <v>39</v>
      </c>
      <c r="E298" s="36" t="s">
        <v>2014</v>
      </c>
      <c r="F298" s="46" t="s">
        <v>2015</v>
      </c>
      <c r="G298" s="36">
        <f>VLOOKUP(F298,'[1]Saldos de Cartera'!$E$8:$S$343,15,0)</f>
        <v>16762.37</v>
      </c>
      <c r="H298" s="36" t="s">
        <v>42</v>
      </c>
      <c r="I298" s="47">
        <v>46199</v>
      </c>
      <c r="J298" s="48" t="s">
        <v>2522</v>
      </c>
      <c r="K298" s="39" t="s">
        <v>43</v>
      </c>
      <c r="L298" s="39" t="s">
        <v>2016</v>
      </c>
      <c r="M298" s="39" t="s">
        <v>45</v>
      </c>
      <c r="N298" s="39" t="s">
        <v>1908</v>
      </c>
      <c r="O298" s="36" t="s">
        <v>47</v>
      </c>
      <c r="P298" s="40">
        <v>46199</v>
      </c>
      <c r="Q298" s="39" t="s">
        <v>2017</v>
      </c>
      <c r="R298" s="39">
        <v>747460</v>
      </c>
      <c r="S298" s="39" t="s">
        <v>66</v>
      </c>
      <c r="T298" s="39"/>
      <c r="U298" s="39"/>
      <c r="V298" s="39"/>
      <c r="W298" s="39"/>
      <c r="X298" s="39" t="s">
        <v>2018</v>
      </c>
      <c r="Y298" s="39"/>
      <c r="Z298" s="39" t="s">
        <v>2019</v>
      </c>
      <c r="AA298" s="47">
        <v>46203</v>
      </c>
      <c r="AB298" s="39" t="s">
        <v>56</v>
      </c>
      <c r="AC298" s="39" t="s">
        <v>2549</v>
      </c>
      <c r="AD298" s="39" t="s">
        <v>69</v>
      </c>
      <c r="AE298" s="39" t="s">
        <v>59</v>
      </c>
      <c r="AF298" s="39"/>
      <c r="AG298" s="17"/>
      <c r="AH298" s="17"/>
    </row>
    <row r="299" spans="1:34" ht="15" customHeight="1" x14ac:dyDescent="0.2">
      <c r="A299" s="36" t="s">
        <v>1252</v>
      </c>
      <c r="B299" s="39" t="s">
        <v>37</v>
      </c>
      <c r="C299" s="39" t="s">
        <v>197</v>
      </c>
      <c r="D299" s="36" t="s">
        <v>39</v>
      </c>
      <c r="E299" s="36" t="s">
        <v>2275</v>
      </c>
      <c r="F299" s="46" t="s">
        <v>2020</v>
      </c>
      <c r="G299" s="36">
        <f>VLOOKUP(F299,'[1]Saldos de Cartera'!$E$8:$S$343,15,0)</f>
        <v>28275.39</v>
      </c>
      <c r="H299" s="36" t="s">
        <v>42</v>
      </c>
      <c r="I299" s="47">
        <v>46199</v>
      </c>
      <c r="J299" s="48" t="s">
        <v>2523</v>
      </c>
      <c r="K299" s="39" t="s">
        <v>43</v>
      </c>
      <c r="L299" s="39" t="s">
        <v>2021</v>
      </c>
      <c r="M299" s="39" t="s">
        <v>45</v>
      </c>
      <c r="N299" s="39" t="s">
        <v>1908</v>
      </c>
      <c r="O299" s="36" t="s">
        <v>47</v>
      </c>
      <c r="P299" s="40">
        <v>46199</v>
      </c>
      <c r="Q299" s="39" t="s">
        <v>2022</v>
      </c>
      <c r="R299" s="39">
        <v>796224</v>
      </c>
      <c r="S299" s="39" t="s">
        <v>66</v>
      </c>
      <c r="T299" s="39"/>
      <c r="U299" s="39"/>
      <c r="V299" s="39"/>
      <c r="W299" s="39"/>
      <c r="X299" s="39" t="s">
        <v>2023</v>
      </c>
      <c r="Y299" s="39"/>
      <c r="Z299" s="39" t="s">
        <v>122</v>
      </c>
      <c r="AA299" s="47">
        <v>46203</v>
      </c>
      <c r="AB299" s="39" t="s">
        <v>56</v>
      </c>
      <c r="AC299" s="39" t="s">
        <v>2549</v>
      </c>
      <c r="AD299" s="39" t="s">
        <v>69</v>
      </c>
      <c r="AE299" s="39" t="s">
        <v>59</v>
      </c>
      <c r="AF299" s="39"/>
      <c r="AG299" s="17"/>
      <c r="AH299" s="17"/>
    </row>
    <row r="300" spans="1:34" ht="15" customHeight="1" x14ac:dyDescent="0.2">
      <c r="A300" s="36" t="s">
        <v>2024</v>
      </c>
      <c r="B300" s="36" t="s">
        <v>37</v>
      </c>
      <c r="C300" s="36" t="s">
        <v>38</v>
      </c>
      <c r="D300" s="36" t="s">
        <v>39</v>
      </c>
      <c r="E300" s="36" t="s">
        <v>2025</v>
      </c>
      <c r="F300" s="51" t="s">
        <v>2026</v>
      </c>
      <c r="G300" s="36">
        <f>VLOOKUP(F300,'[1]Saldos de Cartera'!$E$8:$S$343,15,0)</f>
        <v>48873.919999999998</v>
      </c>
      <c r="H300" s="36" t="s">
        <v>42</v>
      </c>
      <c r="I300" s="22">
        <v>45918</v>
      </c>
      <c r="J300" s="52" t="s">
        <v>2027</v>
      </c>
      <c r="K300" s="53" t="s">
        <v>72</v>
      </c>
      <c r="L300" s="53" t="s">
        <v>2028</v>
      </c>
      <c r="M300" s="53" t="s">
        <v>45</v>
      </c>
      <c r="N300" s="53" t="s">
        <v>385</v>
      </c>
      <c r="O300" s="53" t="s">
        <v>96</v>
      </c>
      <c r="P300" s="47"/>
      <c r="Q300" s="53"/>
      <c r="R300" s="53"/>
      <c r="S300" s="53"/>
      <c r="T300" s="53" t="s">
        <v>50</v>
      </c>
      <c r="U300" s="54">
        <v>45918</v>
      </c>
      <c r="V300" s="53" t="s">
        <v>2029</v>
      </c>
      <c r="W300" s="39" t="s">
        <v>52</v>
      </c>
      <c r="X300" s="53" t="s">
        <v>96</v>
      </c>
      <c r="Y300" s="53" t="s">
        <v>2030</v>
      </c>
      <c r="Z300" s="53" t="s">
        <v>96</v>
      </c>
      <c r="AA300" s="21">
        <v>46203</v>
      </c>
      <c r="AB300" s="53" t="s">
        <v>56</v>
      </c>
      <c r="AC300" s="55" t="s">
        <v>68</v>
      </c>
      <c r="AD300" s="53" t="s">
        <v>82</v>
      </c>
      <c r="AE300" s="53" t="s">
        <v>59</v>
      </c>
      <c r="AF300" s="53" t="s">
        <v>60</v>
      </c>
    </row>
    <row r="301" spans="1:34" ht="15" customHeight="1" x14ac:dyDescent="0.2">
      <c r="A301" s="36" t="s">
        <v>2024</v>
      </c>
      <c r="B301" s="36" t="s">
        <v>37</v>
      </c>
      <c r="C301" s="36" t="s">
        <v>38</v>
      </c>
      <c r="D301" s="36" t="s">
        <v>39</v>
      </c>
      <c r="E301" s="36" t="s">
        <v>2031</v>
      </c>
      <c r="F301" s="51" t="s">
        <v>2032</v>
      </c>
      <c r="G301" s="36">
        <f>VLOOKUP(F301,'[1]Saldos de Cartera'!$E$8:$S$343,15,0)</f>
        <v>17111.09</v>
      </c>
      <c r="H301" s="36" t="s">
        <v>42</v>
      </c>
      <c r="I301" s="22">
        <v>45448</v>
      </c>
      <c r="J301" s="52" t="s">
        <v>2033</v>
      </c>
      <c r="K301" s="53" t="s">
        <v>43</v>
      </c>
      <c r="L301" s="53" t="s">
        <v>2034</v>
      </c>
      <c r="M301" s="53" t="s">
        <v>74</v>
      </c>
      <c r="N301" s="53" t="s">
        <v>141</v>
      </c>
      <c r="O301" s="53" t="s">
        <v>677</v>
      </c>
      <c r="P301" s="47">
        <v>45448</v>
      </c>
      <c r="Q301" s="53" t="s">
        <v>2035</v>
      </c>
      <c r="R301" s="53" t="s">
        <v>809</v>
      </c>
      <c r="S301" s="53" t="s">
        <v>679</v>
      </c>
      <c r="T301" s="53" t="s">
        <v>50</v>
      </c>
      <c r="U301" s="54">
        <v>45448</v>
      </c>
      <c r="V301" s="53" t="s">
        <v>2036</v>
      </c>
      <c r="W301" s="39" t="s">
        <v>52</v>
      </c>
      <c r="X301" s="53" t="s">
        <v>2037</v>
      </c>
      <c r="Y301" s="53" t="s">
        <v>2038</v>
      </c>
      <c r="Z301" s="53" t="s">
        <v>2039</v>
      </c>
      <c r="AA301" s="21">
        <v>46203</v>
      </c>
      <c r="AB301" s="53" t="s">
        <v>56</v>
      </c>
      <c r="AC301" s="55" t="s">
        <v>68</v>
      </c>
      <c r="AD301" s="53" t="s">
        <v>82</v>
      </c>
      <c r="AE301" s="53" t="s">
        <v>59</v>
      </c>
      <c r="AF301" s="53" t="s">
        <v>60</v>
      </c>
    </row>
    <row r="302" spans="1:34" ht="15" customHeight="1" x14ac:dyDescent="0.2">
      <c r="A302" s="36" t="s">
        <v>2024</v>
      </c>
      <c r="B302" s="36" t="s">
        <v>37</v>
      </c>
      <c r="C302" s="36" t="s">
        <v>38</v>
      </c>
      <c r="D302" s="36" t="s">
        <v>39</v>
      </c>
      <c r="E302" s="36" t="s">
        <v>2041</v>
      </c>
      <c r="F302" s="51" t="s">
        <v>2042</v>
      </c>
      <c r="G302" s="36">
        <f>VLOOKUP(F302,'[1]Saldos de Cartera'!$E$8:$S$343,15,0)</f>
        <v>68000</v>
      </c>
      <c r="H302" s="36" t="s">
        <v>42</v>
      </c>
      <c r="I302" s="22">
        <v>45943</v>
      </c>
      <c r="J302" s="52" t="s">
        <v>2043</v>
      </c>
      <c r="K302" s="53" t="s">
        <v>72</v>
      </c>
      <c r="L302" s="53" t="s">
        <v>2044</v>
      </c>
      <c r="M302" s="53" t="s">
        <v>45</v>
      </c>
      <c r="N302" s="53" t="s">
        <v>126</v>
      </c>
      <c r="O302" s="53" t="s">
        <v>96</v>
      </c>
      <c r="P302" s="47"/>
      <c r="Q302" s="53"/>
      <c r="R302" s="53"/>
      <c r="S302" s="53"/>
      <c r="T302" s="53" t="s">
        <v>50</v>
      </c>
      <c r="U302" s="54">
        <v>45930</v>
      </c>
      <c r="V302" s="53" t="s">
        <v>2045</v>
      </c>
      <c r="W302" s="39" t="s">
        <v>52</v>
      </c>
      <c r="X302" s="53" t="s">
        <v>96</v>
      </c>
      <c r="Y302" s="53" t="s">
        <v>2046</v>
      </c>
      <c r="Z302" s="53" t="s">
        <v>96</v>
      </c>
      <c r="AA302" s="21">
        <v>46203</v>
      </c>
      <c r="AB302" s="53" t="s">
        <v>56</v>
      </c>
      <c r="AC302" s="55" t="s">
        <v>68</v>
      </c>
      <c r="AD302" s="53" t="s">
        <v>82</v>
      </c>
      <c r="AE302" s="53" t="s">
        <v>59</v>
      </c>
      <c r="AF302" s="53" t="s">
        <v>60</v>
      </c>
    </row>
    <row r="303" spans="1:34" ht="15" customHeight="1" x14ac:dyDescent="0.2">
      <c r="A303" s="36" t="s">
        <v>2024</v>
      </c>
      <c r="B303" s="36" t="s">
        <v>37</v>
      </c>
      <c r="C303" s="36" t="s">
        <v>38</v>
      </c>
      <c r="D303" s="36" t="s">
        <v>39</v>
      </c>
      <c r="E303" s="36" t="s">
        <v>2047</v>
      </c>
      <c r="F303" s="51" t="s">
        <v>2048</v>
      </c>
      <c r="G303" s="36">
        <f>VLOOKUP(F303,'[1]Saldos de Cartera'!$E$8:$S$343,15,0)</f>
        <v>83920.320000000007</v>
      </c>
      <c r="H303" s="36" t="s">
        <v>42</v>
      </c>
      <c r="I303" s="22">
        <v>45943</v>
      </c>
      <c r="J303" s="53">
        <v>51000024334</v>
      </c>
      <c r="K303" s="53" t="s">
        <v>72</v>
      </c>
      <c r="L303" s="53" t="s">
        <v>2049</v>
      </c>
      <c r="M303" s="53" t="s">
        <v>45</v>
      </c>
      <c r="N303" s="53" t="s">
        <v>191</v>
      </c>
      <c r="O303" s="53" t="s">
        <v>96</v>
      </c>
      <c r="P303" s="47"/>
      <c r="Q303" s="53"/>
      <c r="R303" s="53"/>
      <c r="S303" s="53"/>
      <c r="T303" s="53" t="s">
        <v>50</v>
      </c>
      <c r="U303" s="54">
        <v>45930</v>
      </c>
      <c r="V303" s="53" t="s">
        <v>2050</v>
      </c>
      <c r="W303" s="53" t="s">
        <v>52</v>
      </c>
      <c r="X303" s="53" t="s">
        <v>96</v>
      </c>
      <c r="Y303" s="53" t="s">
        <v>2051</v>
      </c>
      <c r="Z303" s="53" t="s">
        <v>96</v>
      </c>
      <c r="AA303" s="21">
        <v>46197</v>
      </c>
      <c r="AB303" s="53" t="s">
        <v>1998</v>
      </c>
      <c r="AC303" s="55" t="s">
        <v>2052</v>
      </c>
      <c r="AD303" s="53" t="s">
        <v>82</v>
      </c>
      <c r="AE303" s="53" t="s">
        <v>59</v>
      </c>
      <c r="AF303" s="53" t="s">
        <v>60</v>
      </c>
    </row>
    <row r="304" spans="1:34" ht="15" customHeight="1" x14ac:dyDescent="0.2">
      <c r="A304" s="36" t="s">
        <v>2024</v>
      </c>
      <c r="B304" s="36" t="s">
        <v>37</v>
      </c>
      <c r="C304" s="36" t="s">
        <v>38</v>
      </c>
      <c r="D304" s="36" t="s">
        <v>39</v>
      </c>
      <c r="E304" s="36" t="s">
        <v>2053</v>
      </c>
      <c r="F304" s="51" t="s">
        <v>2054</v>
      </c>
      <c r="G304" s="36">
        <f>VLOOKUP(F304,'[1]Saldos de Cartera'!$E$8:$S$343,15,0)</f>
        <v>37186.61</v>
      </c>
      <c r="H304" s="36" t="s">
        <v>42</v>
      </c>
      <c r="I304" s="22">
        <v>45918</v>
      </c>
      <c r="J304" s="52" t="s">
        <v>2055</v>
      </c>
      <c r="K304" s="53" t="s">
        <v>43</v>
      </c>
      <c r="L304" s="53" t="s">
        <v>2056</v>
      </c>
      <c r="M304" s="53" t="s">
        <v>45</v>
      </c>
      <c r="N304" s="53" t="s">
        <v>118</v>
      </c>
      <c r="O304" s="36" t="s">
        <v>47</v>
      </c>
      <c r="P304" s="47">
        <v>45918</v>
      </c>
      <c r="Q304" s="53" t="s">
        <v>2057</v>
      </c>
      <c r="R304" s="53">
        <v>184006</v>
      </c>
      <c r="S304" s="53" t="s">
        <v>66</v>
      </c>
      <c r="T304" s="53"/>
      <c r="U304" s="53"/>
      <c r="V304" s="53"/>
      <c r="W304" s="53"/>
      <c r="X304" s="53" t="s">
        <v>2058</v>
      </c>
      <c r="Y304" s="39"/>
      <c r="Z304" s="53" t="s">
        <v>55</v>
      </c>
      <c r="AA304" s="54">
        <v>46190</v>
      </c>
      <c r="AB304" s="53" t="s">
        <v>56</v>
      </c>
      <c r="AC304" s="55" t="s">
        <v>2040</v>
      </c>
      <c r="AD304" s="53" t="s">
        <v>69</v>
      </c>
      <c r="AE304" s="53" t="s">
        <v>59</v>
      </c>
      <c r="AF304" s="53" t="s">
        <v>99</v>
      </c>
    </row>
    <row r="305" spans="1:32" ht="15" customHeight="1" x14ac:dyDescent="0.2">
      <c r="A305" s="36" t="s">
        <v>2024</v>
      </c>
      <c r="B305" s="36" t="s">
        <v>37</v>
      </c>
      <c r="C305" s="36" t="s">
        <v>38</v>
      </c>
      <c r="D305" s="36" t="s">
        <v>39</v>
      </c>
      <c r="E305" s="36" t="s">
        <v>2059</v>
      </c>
      <c r="F305" s="51" t="s">
        <v>2060</v>
      </c>
      <c r="G305" s="36">
        <f>VLOOKUP(F305,'[1]Saldos de Cartera'!$E$8:$S$343,15,0)</f>
        <v>120000</v>
      </c>
      <c r="H305" s="36" t="s">
        <v>42</v>
      </c>
      <c r="I305" s="22">
        <v>45054</v>
      </c>
      <c r="J305" s="52" t="s">
        <v>2061</v>
      </c>
      <c r="K305" s="53" t="s">
        <v>72</v>
      </c>
      <c r="L305" s="53" t="s">
        <v>2062</v>
      </c>
      <c r="M305" s="53" t="s">
        <v>45</v>
      </c>
      <c r="N305" s="53" t="s">
        <v>237</v>
      </c>
      <c r="O305" s="36" t="s">
        <v>47</v>
      </c>
      <c r="P305" s="47">
        <v>45054</v>
      </c>
      <c r="Q305" s="53" t="s">
        <v>2063</v>
      </c>
      <c r="R305" s="53" t="s">
        <v>2064</v>
      </c>
      <c r="S305" s="53" t="s">
        <v>49</v>
      </c>
      <c r="T305" s="53" t="s">
        <v>50</v>
      </c>
      <c r="U305" s="54">
        <v>45169</v>
      </c>
      <c r="V305" s="53" t="s">
        <v>2065</v>
      </c>
      <c r="W305" s="53" t="s">
        <v>2066</v>
      </c>
      <c r="X305" s="53" t="s">
        <v>2067</v>
      </c>
      <c r="Y305" s="53" t="s">
        <v>2068</v>
      </c>
      <c r="Z305" s="53" t="s">
        <v>80</v>
      </c>
      <c r="AA305" s="22">
        <v>46190</v>
      </c>
      <c r="AB305" s="53" t="s">
        <v>1998</v>
      </c>
      <c r="AC305" s="55" t="s">
        <v>2040</v>
      </c>
      <c r="AD305" s="53" t="s">
        <v>82</v>
      </c>
      <c r="AE305" s="53" t="s">
        <v>59</v>
      </c>
      <c r="AF305" s="53" t="s">
        <v>60</v>
      </c>
    </row>
    <row r="306" spans="1:32" ht="15" customHeight="1" x14ac:dyDescent="0.2">
      <c r="A306" s="36" t="s">
        <v>2024</v>
      </c>
      <c r="B306" s="36" t="s">
        <v>37</v>
      </c>
      <c r="C306" s="36" t="s">
        <v>38</v>
      </c>
      <c r="D306" s="36" t="s">
        <v>39</v>
      </c>
      <c r="E306" s="36" t="s">
        <v>2069</v>
      </c>
      <c r="F306" s="51" t="s">
        <v>2070</v>
      </c>
      <c r="G306" s="36">
        <f>VLOOKUP(F306,'[1]Saldos de Cartera'!$E$8:$S$343,15,0)</f>
        <v>5800.53</v>
      </c>
      <c r="H306" s="36" t="s">
        <v>42</v>
      </c>
      <c r="I306" s="22">
        <v>45016</v>
      </c>
      <c r="J306" s="52" t="s">
        <v>2071</v>
      </c>
      <c r="K306" s="53" t="s">
        <v>43</v>
      </c>
      <c r="L306" s="53" t="s">
        <v>2072</v>
      </c>
      <c r="M306" s="53" t="s">
        <v>45</v>
      </c>
      <c r="N306" s="53" t="s">
        <v>2073</v>
      </c>
      <c r="O306" s="36" t="s">
        <v>47</v>
      </c>
      <c r="P306" s="47">
        <v>45016</v>
      </c>
      <c r="Q306" s="53" t="s">
        <v>2074</v>
      </c>
      <c r="R306" s="53" t="s">
        <v>2075</v>
      </c>
      <c r="S306" s="53" t="s">
        <v>49</v>
      </c>
      <c r="T306" s="53" t="s">
        <v>50</v>
      </c>
      <c r="U306" s="54">
        <v>45455</v>
      </c>
      <c r="V306" s="53" t="s">
        <v>2076</v>
      </c>
      <c r="W306" s="39" t="s">
        <v>52</v>
      </c>
      <c r="X306" s="53" t="s">
        <v>2077</v>
      </c>
      <c r="Y306" s="53" t="s">
        <v>2078</v>
      </c>
      <c r="Z306" s="53" t="s">
        <v>55</v>
      </c>
      <c r="AA306" s="21">
        <v>46197</v>
      </c>
      <c r="AB306" s="53" t="s">
        <v>56</v>
      </c>
      <c r="AC306" s="55" t="s">
        <v>2040</v>
      </c>
      <c r="AD306" s="53" t="s">
        <v>69</v>
      </c>
      <c r="AE306" s="53" t="s">
        <v>91</v>
      </c>
      <c r="AF306" s="53" t="s">
        <v>99</v>
      </c>
    </row>
    <row r="307" spans="1:32" ht="15" customHeight="1" x14ac:dyDescent="0.2">
      <c r="A307" s="36" t="s">
        <v>2024</v>
      </c>
      <c r="B307" s="36" t="s">
        <v>37</v>
      </c>
      <c r="C307" s="36" t="s">
        <v>38</v>
      </c>
      <c r="D307" s="36" t="s">
        <v>39</v>
      </c>
      <c r="E307" s="36" t="s">
        <v>2079</v>
      </c>
      <c r="F307" s="51" t="s">
        <v>2080</v>
      </c>
      <c r="G307" s="36">
        <f>VLOOKUP(F307,'[1]Saldos de Cartera'!$E$8:$S$343,15,0)</f>
        <v>4554.99</v>
      </c>
      <c r="H307" s="36" t="s">
        <v>42</v>
      </c>
      <c r="I307" s="22">
        <v>45098</v>
      </c>
      <c r="J307" s="52" t="s">
        <v>2081</v>
      </c>
      <c r="K307" s="53" t="s">
        <v>43</v>
      </c>
      <c r="L307" s="53" t="s">
        <v>2082</v>
      </c>
      <c r="M307" s="53" t="s">
        <v>45</v>
      </c>
      <c r="N307" s="53" t="s">
        <v>2073</v>
      </c>
      <c r="O307" s="36" t="s">
        <v>47</v>
      </c>
      <c r="P307" s="47">
        <v>45098</v>
      </c>
      <c r="Q307" s="53" t="s">
        <v>2083</v>
      </c>
      <c r="R307" s="53" t="s">
        <v>2084</v>
      </c>
      <c r="S307" s="53" t="s">
        <v>49</v>
      </c>
      <c r="T307" s="53" t="s">
        <v>50</v>
      </c>
      <c r="U307" s="54">
        <v>45464</v>
      </c>
      <c r="V307" s="53" t="s">
        <v>2085</v>
      </c>
      <c r="W307" s="39" t="s">
        <v>52</v>
      </c>
      <c r="X307" s="53" t="s">
        <v>2077</v>
      </c>
      <c r="Y307" s="53" t="s">
        <v>2078</v>
      </c>
      <c r="Z307" s="53" t="s">
        <v>55</v>
      </c>
      <c r="AA307" s="21">
        <v>46197</v>
      </c>
      <c r="AB307" s="53" t="s">
        <v>56</v>
      </c>
      <c r="AC307" s="55" t="s">
        <v>2086</v>
      </c>
      <c r="AD307" s="53" t="s">
        <v>69</v>
      </c>
      <c r="AE307" s="53" t="s">
        <v>91</v>
      </c>
      <c r="AF307" s="53" t="s">
        <v>99</v>
      </c>
    </row>
    <row r="308" spans="1:32" ht="15" customHeight="1" x14ac:dyDescent="0.2">
      <c r="A308" s="36" t="s">
        <v>2024</v>
      </c>
      <c r="B308" s="36" t="s">
        <v>37</v>
      </c>
      <c r="C308" s="36" t="s">
        <v>38</v>
      </c>
      <c r="D308" s="36" t="s">
        <v>39</v>
      </c>
      <c r="E308" s="36" t="s">
        <v>2079</v>
      </c>
      <c r="F308" s="51" t="s">
        <v>2087</v>
      </c>
      <c r="G308" s="36">
        <f>VLOOKUP(F308,'[1]Saldos de Cartera'!$E$8:$S$343,15,0)</f>
        <v>15873.02</v>
      </c>
      <c r="H308" s="36" t="s">
        <v>42</v>
      </c>
      <c r="I308" s="22">
        <v>45005</v>
      </c>
      <c r="J308" s="52" t="s">
        <v>2088</v>
      </c>
      <c r="K308" s="53" t="s">
        <v>43</v>
      </c>
      <c r="L308" s="53" t="s">
        <v>2082</v>
      </c>
      <c r="M308" s="53" t="s">
        <v>45</v>
      </c>
      <c r="N308" s="53" t="s">
        <v>2073</v>
      </c>
      <c r="O308" s="36" t="s">
        <v>47</v>
      </c>
      <c r="P308" s="47">
        <v>45005</v>
      </c>
      <c r="Q308" s="53" t="s">
        <v>2083</v>
      </c>
      <c r="R308" s="53" t="s">
        <v>2084</v>
      </c>
      <c r="S308" s="53" t="s">
        <v>49</v>
      </c>
      <c r="T308" s="53" t="s">
        <v>50</v>
      </c>
      <c r="U308" s="54">
        <v>45464</v>
      </c>
      <c r="V308" s="53" t="s">
        <v>2085</v>
      </c>
      <c r="W308" s="39" t="s">
        <v>52</v>
      </c>
      <c r="X308" s="53" t="s">
        <v>2077</v>
      </c>
      <c r="Y308" s="53" t="s">
        <v>2078</v>
      </c>
      <c r="Z308" s="53" t="s">
        <v>55</v>
      </c>
      <c r="AA308" s="21">
        <v>46197</v>
      </c>
      <c r="AB308" s="53" t="s">
        <v>56</v>
      </c>
      <c r="AC308" s="55" t="s">
        <v>2052</v>
      </c>
      <c r="AD308" s="53" t="s">
        <v>69</v>
      </c>
      <c r="AE308" s="53" t="s">
        <v>91</v>
      </c>
      <c r="AF308" s="53" t="s">
        <v>99</v>
      </c>
    </row>
    <row r="309" spans="1:32" ht="15" customHeight="1" x14ac:dyDescent="0.2">
      <c r="A309" s="36" t="s">
        <v>2024</v>
      </c>
      <c r="B309" s="36" t="s">
        <v>37</v>
      </c>
      <c r="C309" s="36" t="s">
        <v>38</v>
      </c>
      <c r="D309" s="36" t="s">
        <v>39</v>
      </c>
      <c r="E309" s="36" t="s">
        <v>2089</v>
      </c>
      <c r="F309" s="51" t="s">
        <v>2090</v>
      </c>
      <c r="G309" s="36">
        <f>VLOOKUP(F309,'[1]Saldos de Cartera'!$E$8:$S$343,15,0)</f>
        <v>29710.87</v>
      </c>
      <c r="H309" s="36" t="s">
        <v>42</v>
      </c>
      <c r="I309" s="22">
        <v>45110</v>
      </c>
      <c r="J309" s="52" t="s">
        <v>2091</v>
      </c>
      <c r="K309" s="53" t="s">
        <v>72</v>
      </c>
      <c r="L309" s="53" t="s">
        <v>2092</v>
      </c>
      <c r="M309" s="53" t="s">
        <v>45</v>
      </c>
      <c r="N309" s="53" t="s">
        <v>2093</v>
      </c>
      <c r="O309" s="53" t="s">
        <v>96</v>
      </c>
      <c r="P309" s="47"/>
      <c r="Q309" s="53"/>
      <c r="R309" s="53"/>
      <c r="S309" s="53"/>
      <c r="T309" s="53" t="s">
        <v>50</v>
      </c>
      <c r="U309" s="54">
        <v>45939</v>
      </c>
      <c r="V309" s="53" t="s">
        <v>2094</v>
      </c>
      <c r="W309" s="53" t="s">
        <v>88</v>
      </c>
      <c r="X309" s="53" t="s">
        <v>96</v>
      </c>
      <c r="Y309" s="53" t="s">
        <v>2095</v>
      </c>
      <c r="Z309" s="53" t="s">
        <v>96</v>
      </c>
      <c r="AA309" s="21">
        <v>46203</v>
      </c>
      <c r="AB309" s="53" t="s">
        <v>56</v>
      </c>
      <c r="AC309" s="55" t="s">
        <v>68</v>
      </c>
      <c r="AD309" s="53" t="s">
        <v>82</v>
      </c>
      <c r="AE309" s="53" t="s">
        <v>59</v>
      </c>
      <c r="AF309" s="53" t="s">
        <v>60</v>
      </c>
    </row>
    <row r="310" spans="1:32" ht="15" customHeight="1" x14ac:dyDescent="0.2">
      <c r="A310" s="36" t="s">
        <v>2024</v>
      </c>
      <c r="B310" s="36" t="s">
        <v>37</v>
      </c>
      <c r="C310" s="36" t="s">
        <v>38</v>
      </c>
      <c r="D310" s="36" t="s">
        <v>39</v>
      </c>
      <c r="E310" s="36" t="s">
        <v>2096</v>
      </c>
      <c r="F310" s="51" t="s">
        <v>2097</v>
      </c>
      <c r="G310" s="36">
        <f>VLOOKUP(F310,'[1]Saldos de Cartera'!$E$8:$S$343,15,0)</f>
        <v>29481.27</v>
      </c>
      <c r="H310" s="36" t="s">
        <v>42</v>
      </c>
      <c r="I310" s="22">
        <v>45358</v>
      </c>
      <c r="J310" s="52" t="s">
        <v>2098</v>
      </c>
      <c r="K310" s="53" t="s">
        <v>43</v>
      </c>
      <c r="L310" s="53" t="s">
        <v>2099</v>
      </c>
      <c r="M310" s="53" t="s">
        <v>45</v>
      </c>
      <c r="N310" s="53" t="s">
        <v>237</v>
      </c>
      <c r="O310" s="36" t="s">
        <v>47</v>
      </c>
      <c r="P310" s="47">
        <v>45358</v>
      </c>
      <c r="Q310" s="53" t="s">
        <v>2100</v>
      </c>
      <c r="R310" s="53">
        <v>583746</v>
      </c>
      <c r="S310" s="53" t="s">
        <v>49</v>
      </c>
      <c r="T310" s="53" t="s">
        <v>50</v>
      </c>
      <c r="U310" s="54">
        <v>45603</v>
      </c>
      <c r="V310" s="53" t="s">
        <v>2101</v>
      </c>
      <c r="W310" s="39" t="s">
        <v>52</v>
      </c>
      <c r="X310" s="53" t="s">
        <v>2102</v>
      </c>
      <c r="Y310" s="53" t="s">
        <v>2103</v>
      </c>
      <c r="Z310" s="53" t="s">
        <v>80</v>
      </c>
      <c r="AA310" s="21">
        <v>46202</v>
      </c>
      <c r="AB310" s="53" t="s">
        <v>56</v>
      </c>
      <c r="AC310" s="55" t="s">
        <v>2040</v>
      </c>
      <c r="AD310" s="53" t="s">
        <v>69</v>
      </c>
      <c r="AE310" s="53" t="s">
        <v>91</v>
      </c>
      <c r="AF310" s="53" t="s">
        <v>99</v>
      </c>
    </row>
    <row r="311" spans="1:32" ht="15" customHeight="1" x14ac:dyDescent="0.2">
      <c r="A311" s="36" t="s">
        <v>2024</v>
      </c>
      <c r="B311" s="36" t="s">
        <v>37</v>
      </c>
      <c r="C311" s="36" t="s">
        <v>38</v>
      </c>
      <c r="D311" s="36" t="s">
        <v>39</v>
      </c>
      <c r="E311" s="36" t="s">
        <v>2096</v>
      </c>
      <c r="F311" s="51" t="s">
        <v>2104</v>
      </c>
      <c r="G311" s="36">
        <f>VLOOKUP(F311,'[1]Saldos de Cartera'!$E$8:$S$343,15,0)</f>
        <v>32092.06</v>
      </c>
      <c r="H311" s="36" t="s">
        <v>42</v>
      </c>
      <c r="I311" s="22">
        <v>45358</v>
      </c>
      <c r="J311" s="52" t="s">
        <v>2105</v>
      </c>
      <c r="K311" s="53" t="s">
        <v>43</v>
      </c>
      <c r="L311" s="53" t="s">
        <v>2099</v>
      </c>
      <c r="M311" s="53" t="s">
        <v>45</v>
      </c>
      <c r="N311" s="53" t="s">
        <v>237</v>
      </c>
      <c r="O311" s="36" t="s">
        <v>47</v>
      </c>
      <c r="P311" s="47">
        <v>45358</v>
      </c>
      <c r="Q311" s="53" t="s">
        <v>2100</v>
      </c>
      <c r="R311" s="53">
        <v>583746</v>
      </c>
      <c r="S311" s="53" t="s">
        <v>49</v>
      </c>
      <c r="T311" s="53" t="s">
        <v>50</v>
      </c>
      <c r="U311" s="54">
        <v>45603</v>
      </c>
      <c r="V311" s="53" t="s">
        <v>2101</v>
      </c>
      <c r="W311" s="39" t="s">
        <v>52</v>
      </c>
      <c r="X311" s="53" t="s">
        <v>2102</v>
      </c>
      <c r="Y311" s="53" t="s">
        <v>2103</v>
      </c>
      <c r="Z311" s="53" t="s">
        <v>80</v>
      </c>
      <c r="AA311" s="21">
        <v>46202</v>
      </c>
      <c r="AB311" s="53" t="s">
        <v>56</v>
      </c>
      <c r="AC311" s="55" t="s">
        <v>2040</v>
      </c>
      <c r="AD311" s="53" t="s">
        <v>82</v>
      </c>
      <c r="AE311" s="53" t="s">
        <v>91</v>
      </c>
      <c r="AF311" s="53" t="s">
        <v>99</v>
      </c>
    </row>
    <row r="312" spans="1:32" ht="15" customHeight="1" x14ac:dyDescent="0.2">
      <c r="A312" s="36" t="s">
        <v>2024</v>
      </c>
      <c r="B312" s="36" t="s">
        <v>37</v>
      </c>
      <c r="C312" s="36" t="s">
        <v>38</v>
      </c>
      <c r="D312" s="36" t="s">
        <v>39</v>
      </c>
      <c r="E312" s="36" t="s">
        <v>2106</v>
      </c>
      <c r="F312" s="51" t="s">
        <v>2107</v>
      </c>
      <c r="G312" s="36">
        <f>VLOOKUP(F312,'[1]Saldos de Cartera'!$E$8:$S$343,15,0)</f>
        <v>35046.97</v>
      </c>
      <c r="H312" s="36" t="s">
        <v>42</v>
      </c>
      <c r="I312" s="22">
        <v>46021</v>
      </c>
      <c r="J312" s="52" t="s">
        <v>2108</v>
      </c>
      <c r="K312" s="53" t="s">
        <v>43</v>
      </c>
      <c r="L312" s="53" t="s">
        <v>2109</v>
      </c>
      <c r="M312" s="53" t="s">
        <v>74</v>
      </c>
      <c r="N312" s="53" t="s">
        <v>1321</v>
      </c>
      <c r="O312" s="36" t="s">
        <v>47</v>
      </c>
      <c r="P312" s="47">
        <v>46021</v>
      </c>
      <c r="Q312" s="53" t="s">
        <v>2110</v>
      </c>
      <c r="R312" s="53">
        <v>774429</v>
      </c>
      <c r="S312" s="53" t="s">
        <v>66</v>
      </c>
      <c r="T312" s="53"/>
      <c r="U312" s="53" t="s">
        <v>809</v>
      </c>
      <c r="V312" s="53" t="s">
        <v>809</v>
      </c>
      <c r="W312" s="53"/>
      <c r="X312" s="53" t="s">
        <v>2111</v>
      </c>
      <c r="Y312" s="39"/>
      <c r="Z312" s="53" t="s">
        <v>55</v>
      </c>
      <c r="AA312" s="21">
        <v>46203</v>
      </c>
      <c r="AB312" s="53" t="s">
        <v>56</v>
      </c>
      <c r="AC312" s="55" t="s">
        <v>68</v>
      </c>
      <c r="AD312" s="53" t="s">
        <v>69</v>
      </c>
      <c r="AE312" s="53" t="s">
        <v>59</v>
      </c>
      <c r="AF312" s="53" t="s">
        <v>60</v>
      </c>
    </row>
    <row r="313" spans="1:32" ht="15" customHeight="1" x14ac:dyDescent="0.2">
      <c r="A313" s="36" t="s">
        <v>2024</v>
      </c>
      <c r="B313" s="36" t="s">
        <v>37</v>
      </c>
      <c r="C313" s="36" t="s">
        <v>38</v>
      </c>
      <c r="D313" s="36" t="s">
        <v>39</v>
      </c>
      <c r="E313" s="36" t="s">
        <v>2112</v>
      </c>
      <c r="F313" s="51" t="s">
        <v>2113</v>
      </c>
      <c r="G313" s="36">
        <f>VLOOKUP(F313,'[1]Saldos de Cartera'!$E$8:$S$343,15,0)</f>
        <v>50756.85</v>
      </c>
      <c r="H313" s="36" t="s">
        <v>42</v>
      </c>
      <c r="I313" s="22">
        <v>45619</v>
      </c>
      <c r="J313" s="52" t="s">
        <v>2114</v>
      </c>
      <c r="K313" s="53" t="s">
        <v>43</v>
      </c>
      <c r="L313" s="53" t="s">
        <v>2115</v>
      </c>
      <c r="M313" s="53" t="s">
        <v>45</v>
      </c>
      <c r="N313" s="53" t="s">
        <v>126</v>
      </c>
      <c r="O313" s="36" t="s">
        <v>47</v>
      </c>
      <c r="P313" s="47">
        <v>45619</v>
      </c>
      <c r="Q313" s="53" t="s">
        <v>2116</v>
      </c>
      <c r="R313" s="53">
        <v>530471</v>
      </c>
      <c r="S313" s="53" t="s">
        <v>49</v>
      </c>
      <c r="T313" s="53" t="s">
        <v>50</v>
      </c>
      <c r="U313" s="54">
        <v>45709</v>
      </c>
      <c r="V313" s="53" t="s">
        <v>2117</v>
      </c>
      <c r="W313" s="39" t="s">
        <v>52</v>
      </c>
      <c r="X313" s="53" t="s">
        <v>2118</v>
      </c>
      <c r="Y313" s="53" t="s">
        <v>2119</v>
      </c>
      <c r="Z313" s="53" t="s">
        <v>55</v>
      </c>
      <c r="AA313" s="22">
        <v>46197</v>
      </c>
      <c r="AB313" s="53" t="s">
        <v>1998</v>
      </c>
      <c r="AC313" s="53" t="s">
        <v>2052</v>
      </c>
      <c r="AD313" s="53" t="s">
        <v>58</v>
      </c>
      <c r="AE313" s="53" t="s">
        <v>59</v>
      </c>
      <c r="AF313" s="53" t="s">
        <v>60</v>
      </c>
    </row>
    <row r="314" spans="1:32" ht="15" customHeight="1" x14ac:dyDescent="0.2">
      <c r="A314" s="36" t="s">
        <v>2024</v>
      </c>
      <c r="B314" s="36" t="s">
        <v>37</v>
      </c>
      <c r="C314" s="36" t="s">
        <v>38</v>
      </c>
      <c r="D314" s="36" t="s">
        <v>39</v>
      </c>
      <c r="E314" s="36" t="s">
        <v>2120</v>
      </c>
      <c r="F314" s="51" t="s">
        <v>2121</v>
      </c>
      <c r="G314" s="36">
        <f>VLOOKUP(F314,'[1]Saldos de Cartera'!$E$8:$S$343,15,0)</f>
        <v>37001.67</v>
      </c>
      <c r="H314" s="36" t="s">
        <v>42</v>
      </c>
      <c r="I314" s="22">
        <v>45887</v>
      </c>
      <c r="J314" s="52" t="s">
        <v>2122</v>
      </c>
      <c r="K314" s="53" t="s">
        <v>43</v>
      </c>
      <c r="L314" s="53" t="s">
        <v>2123</v>
      </c>
      <c r="M314" s="53" t="s">
        <v>45</v>
      </c>
      <c r="N314" s="53" t="s">
        <v>118</v>
      </c>
      <c r="O314" s="36" t="s">
        <v>47</v>
      </c>
      <c r="P314" s="47">
        <v>45887</v>
      </c>
      <c r="Q314" s="53" t="s">
        <v>2124</v>
      </c>
      <c r="R314" s="53">
        <v>854503</v>
      </c>
      <c r="S314" s="53" t="s">
        <v>49</v>
      </c>
      <c r="T314" s="53" t="s">
        <v>50</v>
      </c>
      <c r="U314" s="54">
        <v>45940</v>
      </c>
      <c r="V314" s="53" t="s">
        <v>2125</v>
      </c>
      <c r="W314" s="39" t="s">
        <v>52</v>
      </c>
      <c r="X314" s="53" t="s">
        <v>2126</v>
      </c>
      <c r="Y314" s="53" t="s">
        <v>2534</v>
      </c>
      <c r="Z314" s="53" t="s">
        <v>55</v>
      </c>
      <c r="AA314" s="22">
        <v>46190</v>
      </c>
      <c r="AB314" s="53" t="s">
        <v>1998</v>
      </c>
      <c r="AC314" s="55" t="s">
        <v>2040</v>
      </c>
      <c r="AD314" s="53" t="s">
        <v>69</v>
      </c>
      <c r="AE314" s="53" t="s">
        <v>59</v>
      </c>
      <c r="AF314" s="53" t="s">
        <v>60</v>
      </c>
    </row>
    <row r="315" spans="1:32" ht="15" customHeight="1" x14ac:dyDescent="0.2">
      <c r="A315" s="36" t="s">
        <v>2024</v>
      </c>
      <c r="B315" s="36" t="s">
        <v>37</v>
      </c>
      <c r="C315" s="36" t="s">
        <v>38</v>
      </c>
      <c r="D315" s="36" t="s">
        <v>39</v>
      </c>
      <c r="E315" s="36" t="s">
        <v>2276</v>
      </c>
      <c r="F315" s="46" t="s">
        <v>2269</v>
      </c>
      <c r="G315" s="36">
        <f>VLOOKUP(F315,'[1]Saldos de Cartera'!$E$8:$S$343,15,0)</f>
        <v>26572.57</v>
      </c>
      <c r="H315" s="36" t="s">
        <v>42</v>
      </c>
      <c r="I315" s="22">
        <v>46148</v>
      </c>
      <c r="J315" s="52" t="s">
        <v>2528</v>
      </c>
      <c r="K315" s="53" t="s">
        <v>43</v>
      </c>
      <c r="L315" s="56">
        <v>29241.31</v>
      </c>
      <c r="M315" s="53" t="s">
        <v>45</v>
      </c>
      <c r="N315" s="53" t="s">
        <v>2127</v>
      </c>
      <c r="O315" s="36" t="s">
        <v>47</v>
      </c>
      <c r="P315" s="47">
        <v>46148</v>
      </c>
      <c r="Q315" s="53" t="s">
        <v>2128</v>
      </c>
      <c r="R315" s="53">
        <v>955817</v>
      </c>
      <c r="S315" s="53" t="s">
        <v>66</v>
      </c>
      <c r="T315" s="53"/>
      <c r="U315" s="54"/>
      <c r="V315" s="53"/>
      <c r="W315" s="53"/>
      <c r="X315" s="53" t="s">
        <v>2532</v>
      </c>
      <c r="Y315" s="39"/>
      <c r="Z315" s="53" t="s">
        <v>2019</v>
      </c>
      <c r="AA315" s="47">
        <v>46203</v>
      </c>
      <c r="AB315" s="39" t="s">
        <v>56</v>
      </c>
      <c r="AC315" s="39" t="s">
        <v>2549</v>
      </c>
      <c r="AD315" s="39" t="s">
        <v>69</v>
      </c>
      <c r="AE315" s="39" t="s">
        <v>59</v>
      </c>
      <c r="AF315" s="53"/>
    </row>
    <row r="316" spans="1:32" ht="15" customHeight="1" x14ac:dyDescent="0.2">
      <c r="A316" s="36" t="s">
        <v>2024</v>
      </c>
      <c r="B316" s="36" t="s">
        <v>37</v>
      </c>
      <c r="C316" s="36" t="s">
        <v>38</v>
      </c>
      <c r="D316" s="36" t="s">
        <v>39</v>
      </c>
      <c r="E316" s="36" t="s">
        <v>2277</v>
      </c>
      <c r="F316" s="46" t="s">
        <v>2270</v>
      </c>
      <c r="G316" s="36">
        <f>VLOOKUP(F316,'[1]Saldos de Cartera'!$E$8:$S$343,15,0)</f>
        <v>19669.599999999999</v>
      </c>
      <c r="H316" s="36" t="s">
        <v>42</v>
      </c>
      <c r="I316" s="22">
        <v>46070</v>
      </c>
      <c r="J316" s="52" t="s">
        <v>2529</v>
      </c>
      <c r="K316" s="53" t="s">
        <v>43</v>
      </c>
      <c r="L316" s="56">
        <v>22647.84</v>
      </c>
      <c r="M316" s="53" t="s">
        <v>2129</v>
      </c>
      <c r="N316" s="53" t="s">
        <v>2130</v>
      </c>
      <c r="O316" s="36" t="s">
        <v>47</v>
      </c>
      <c r="P316" s="47">
        <v>46070</v>
      </c>
      <c r="Q316" s="53" t="s">
        <v>2131</v>
      </c>
      <c r="R316" s="53">
        <v>17155</v>
      </c>
      <c r="S316" s="53" t="s">
        <v>66</v>
      </c>
      <c r="T316" s="53"/>
      <c r="U316" s="54"/>
      <c r="V316" s="53"/>
      <c r="W316" s="53"/>
      <c r="X316" s="53" t="s">
        <v>2547</v>
      </c>
      <c r="Y316" s="39"/>
      <c r="Z316" s="53" t="s">
        <v>55</v>
      </c>
      <c r="AA316" s="47">
        <v>46203</v>
      </c>
      <c r="AB316" s="39" t="s">
        <v>56</v>
      </c>
      <c r="AC316" s="39" t="s">
        <v>2549</v>
      </c>
      <c r="AD316" s="39" t="s">
        <v>69</v>
      </c>
      <c r="AE316" s="39" t="s">
        <v>59</v>
      </c>
      <c r="AF316" s="53"/>
    </row>
    <row r="317" spans="1:32" ht="15" customHeight="1" x14ac:dyDescent="0.2">
      <c r="A317" s="36" t="s">
        <v>2024</v>
      </c>
      <c r="B317" s="36" t="s">
        <v>37</v>
      </c>
      <c r="C317" s="36" t="s">
        <v>38</v>
      </c>
      <c r="D317" s="36" t="s">
        <v>39</v>
      </c>
      <c r="E317" s="36" t="s">
        <v>2132</v>
      </c>
      <c r="F317" s="51" t="s">
        <v>2133</v>
      </c>
      <c r="G317" s="36">
        <f>VLOOKUP(F317,'[1]Saldos de Cartera'!$E$8:$S$343,15,0)</f>
        <v>80431.960000000006</v>
      </c>
      <c r="H317" s="36" t="s">
        <v>42</v>
      </c>
      <c r="I317" s="22">
        <v>46051</v>
      </c>
      <c r="J317" s="52" t="s">
        <v>2526</v>
      </c>
      <c r="K317" s="53" t="s">
        <v>2134</v>
      </c>
      <c r="L317" s="56">
        <v>89154.1</v>
      </c>
      <c r="M317" s="53" t="s">
        <v>45</v>
      </c>
      <c r="N317" s="53" t="s">
        <v>237</v>
      </c>
      <c r="O317" s="36" t="s">
        <v>47</v>
      </c>
      <c r="P317" s="47">
        <v>46051</v>
      </c>
      <c r="Q317" s="53" t="s">
        <v>2135</v>
      </c>
      <c r="R317" s="53">
        <v>30418</v>
      </c>
      <c r="S317" s="53" t="s">
        <v>2136</v>
      </c>
      <c r="T317" s="53"/>
      <c r="U317" s="54"/>
      <c r="V317" s="53"/>
      <c r="W317" s="53"/>
      <c r="X317" s="53" t="s">
        <v>2137</v>
      </c>
      <c r="Y317" s="39"/>
      <c r="Z317" s="53" t="s">
        <v>80</v>
      </c>
      <c r="AA317" s="22">
        <v>46197</v>
      </c>
      <c r="AB317" s="53" t="s">
        <v>1998</v>
      </c>
      <c r="AC317" s="53" t="s">
        <v>2052</v>
      </c>
      <c r="AD317" s="53" t="s">
        <v>2139</v>
      </c>
      <c r="AE317" s="53" t="s">
        <v>59</v>
      </c>
      <c r="AF317" s="53" t="s">
        <v>60</v>
      </c>
    </row>
    <row r="318" spans="1:32" ht="15" customHeight="1" x14ac:dyDescent="0.2">
      <c r="A318" s="36" t="s">
        <v>2024</v>
      </c>
      <c r="B318" s="36" t="s">
        <v>37</v>
      </c>
      <c r="C318" s="36" t="s">
        <v>38</v>
      </c>
      <c r="D318" s="36" t="s">
        <v>39</v>
      </c>
      <c r="E318" s="36" t="s">
        <v>2140</v>
      </c>
      <c r="F318" s="51" t="s">
        <v>2141</v>
      </c>
      <c r="G318" s="36">
        <f>VLOOKUP(F318,'[1]Saldos de Cartera'!$E$8:$S$343,15,0)</f>
        <v>39000</v>
      </c>
      <c r="H318" s="36" t="s">
        <v>42</v>
      </c>
      <c r="I318" s="22">
        <v>46079</v>
      </c>
      <c r="J318" s="52" t="s">
        <v>2527</v>
      </c>
      <c r="K318" s="53" t="s">
        <v>2134</v>
      </c>
      <c r="L318" s="56">
        <v>44814.64</v>
      </c>
      <c r="M318" s="53" t="s">
        <v>45</v>
      </c>
      <c r="N318" s="53" t="s">
        <v>118</v>
      </c>
      <c r="O318" s="36" t="s">
        <v>47</v>
      </c>
      <c r="P318" s="47">
        <v>46079</v>
      </c>
      <c r="Q318" s="53" t="s">
        <v>2142</v>
      </c>
      <c r="R318" s="53">
        <v>537798</v>
      </c>
      <c r="S318" s="53" t="s">
        <v>66</v>
      </c>
      <c r="T318" s="53"/>
      <c r="U318" s="54"/>
      <c r="V318" s="53"/>
      <c r="W318" s="53"/>
      <c r="X318" s="53"/>
      <c r="Y318" s="53" t="s">
        <v>2143</v>
      </c>
      <c r="Z318" s="53" t="s">
        <v>2138</v>
      </c>
      <c r="AA318" s="21">
        <v>46203</v>
      </c>
      <c r="AB318" s="53" t="s">
        <v>56</v>
      </c>
      <c r="AC318" s="55" t="s">
        <v>68</v>
      </c>
      <c r="AD318" s="53" t="s">
        <v>2139</v>
      </c>
      <c r="AE318" s="53" t="s">
        <v>59</v>
      </c>
      <c r="AF318" s="53" t="s">
        <v>60</v>
      </c>
    </row>
    <row r="319" spans="1:32" ht="15" customHeight="1" x14ac:dyDescent="0.2">
      <c r="A319" s="36" t="s">
        <v>2024</v>
      </c>
      <c r="B319" s="36" t="s">
        <v>37</v>
      </c>
      <c r="C319" s="36" t="s">
        <v>38</v>
      </c>
      <c r="D319" s="36" t="s">
        <v>39</v>
      </c>
      <c r="E319" s="36" t="s">
        <v>2144</v>
      </c>
      <c r="F319" s="51" t="s">
        <v>2145</v>
      </c>
      <c r="G319" s="36">
        <f>VLOOKUP(F319,'[1]Saldos de Cartera'!$E$8:$S$343,15,0)</f>
        <v>15378.53</v>
      </c>
      <c r="H319" s="36" t="s">
        <v>42</v>
      </c>
      <c r="I319" s="22">
        <v>46085</v>
      </c>
      <c r="J319" s="52" t="s">
        <v>2525</v>
      </c>
      <c r="K319" s="53" t="s">
        <v>2134</v>
      </c>
      <c r="L319" s="56">
        <v>26346.78</v>
      </c>
      <c r="M319" s="53" t="s">
        <v>45</v>
      </c>
      <c r="N319" s="53" t="s">
        <v>118</v>
      </c>
      <c r="O319" s="36" t="s">
        <v>47</v>
      </c>
      <c r="P319" s="47">
        <v>46085</v>
      </c>
      <c r="Q319" s="53" t="s">
        <v>2146</v>
      </c>
      <c r="R319" s="53">
        <v>273626</v>
      </c>
      <c r="S319" s="53" t="s">
        <v>66</v>
      </c>
      <c r="T319" s="53"/>
      <c r="U319" s="54"/>
      <c r="V319" s="53"/>
      <c r="W319" s="53"/>
      <c r="X319" s="53"/>
      <c r="Y319" s="53" t="s">
        <v>2147</v>
      </c>
      <c r="Z319" s="53" t="s">
        <v>2138</v>
      </c>
      <c r="AA319" s="22">
        <v>46197</v>
      </c>
      <c r="AB319" s="53" t="s">
        <v>1998</v>
      </c>
      <c r="AC319" s="55" t="s">
        <v>2148</v>
      </c>
      <c r="AD319" s="53" t="s">
        <v>2139</v>
      </c>
      <c r="AE319" s="53" t="s">
        <v>59</v>
      </c>
      <c r="AF319" s="53" t="s">
        <v>60</v>
      </c>
    </row>
    <row r="320" spans="1:32" ht="15" customHeight="1" x14ac:dyDescent="0.2">
      <c r="A320" s="36" t="s">
        <v>2149</v>
      </c>
      <c r="B320" s="24" t="s">
        <v>37</v>
      </c>
      <c r="C320" s="24" t="s">
        <v>197</v>
      </c>
      <c r="D320" s="36" t="s">
        <v>39</v>
      </c>
      <c r="E320" s="36" t="s">
        <v>2150</v>
      </c>
      <c r="F320" s="57" t="s">
        <v>2151</v>
      </c>
      <c r="G320" s="36">
        <f>VLOOKUP(F320,'[1]Saldos de Cartera'!$E$8:$S$343,15,0)</f>
        <v>2622.75</v>
      </c>
      <c r="H320" s="36" t="s">
        <v>42</v>
      </c>
      <c r="I320" s="58">
        <v>44985</v>
      </c>
      <c r="J320" s="24">
        <v>38000022389</v>
      </c>
      <c r="K320" s="24" t="s">
        <v>43</v>
      </c>
      <c r="L320" s="59" t="s">
        <v>2152</v>
      </c>
      <c r="M320" s="24" t="s">
        <v>45</v>
      </c>
      <c r="N320" s="24" t="s">
        <v>2153</v>
      </c>
      <c r="O320" s="36" t="s">
        <v>47</v>
      </c>
      <c r="P320" s="47">
        <v>44985</v>
      </c>
      <c r="Q320" s="24" t="s">
        <v>2154</v>
      </c>
      <c r="R320" s="24">
        <v>790857</v>
      </c>
      <c r="S320" s="24" t="s">
        <v>49</v>
      </c>
      <c r="T320" s="24" t="s">
        <v>50</v>
      </c>
      <c r="U320" s="60">
        <v>45301</v>
      </c>
      <c r="V320" s="24" t="s">
        <v>2155</v>
      </c>
      <c r="W320" s="39" t="s">
        <v>52</v>
      </c>
      <c r="X320" s="24" t="s">
        <v>2156</v>
      </c>
      <c r="Y320" s="61" t="s">
        <v>2157</v>
      </c>
      <c r="Z320" s="24" t="s">
        <v>55</v>
      </c>
      <c r="AA320" s="21">
        <v>46203</v>
      </c>
      <c r="AB320" s="53" t="s">
        <v>56</v>
      </c>
      <c r="AC320" s="55" t="s">
        <v>68</v>
      </c>
      <c r="AD320" s="24" t="s">
        <v>69</v>
      </c>
      <c r="AE320" s="24" t="s">
        <v>59</v>
      </c>
      <c r="AF320" s="24" t="s">
        <v>60</v>
      </c>
    </row>
    <row r="321" spans="1:32" ht="15" customHeight="1" x14ac:dyDescent="0.2">
      <c r="A321" s="36" t="s">
        <v>2149</v>
      </c>
      <c r="B321" s="24" t="s">
        <v>37</v>
      </c>
      <c r="C321" s="24" t="s">
        <v>197</v>
      </c>
      <c r="D321" s="36" t="s">
        <v>39</v>
      </c>
      <c r="E321" s="36" t="s">
        <v>2158</v>
      </c>
      <c r="F321" s="57" t="s">
        <v>2159</v>
      </c>
      <c r="G321" s="36">
        <f>VLOOKUP(F321,'[1]Saldos de Cartera'!$E$8:$S$343,15,0)</f>
        <v>35460.949999999997</v>
      </c>
      <c r="H321" s="36" t="s">
        <v>42</v>
      </c>
      <c r="I321" s="58">
        <v>45959</v>
      </c>
      <c r="J321" s="24">
        <v>38000028263</v>
      </c>
      <c r="K321" s="24" t="s">
        <v>43</v>
      </c>
      <c r="L321" s="59" t="s">
        <v>2160</v>
      </c>
      <c r="M321" s="24" t="s">
        <v>45</v>
      </c>
      <c r="N321" s="24" t="s">
        <v>118</v>
      </c>
      <c r="O321" s="36" t="s">
        <v>47</v>
      </c>
      <c r="P321" s="47">
        <v>45959</v>
      </c>
      <c r="Q321" s="24" t="s">
        <v>2161</v>
      </c>
      <c r="R321" s="24">
        <v>32218</v>
      </c>
      <c r="S321" s="24" t="s">
        <v>49</v>
      </c>
      <c r="T321" s="24"/>
      <c r="U321" s="60"/>
      <c r="V321" s="24"/>
      <c r="W321" s="24"/>
      <c r="X321" s="24" t="s">
        <v>2162</v>
      </c>
      <c r="Y321" s="61" t="s">
        <v>2163</v>
      </c>
      <c r="Z321" s="24" t="s">
        <v>55</v>
      </c>
      <c r="AA321" s="21">
        <v>46203</v>
      </c>
      <c r="AB321" s="53" t="s">
        <v>56</v>
      </c>
      <c r="AC321" s="55" t="s">
        <v>68</v>
      </c>
      <c r="AD321" s="24" t="s">
        <v>69</v>
      </c>
      <c r="AE321" s="24" t="s">
        <v>59</v>
      </c>
      <c r="AF321" s="24" t="s">
        <v>60</v>
      </c>
    </row>
    <row r="322" spans="1:32" ht="15" customHeight="1" x14ac:dyDescent="0.2">
      <c r="A322" s="36" t="s">
        <v>2149</v>
      </c>
      <c r="B322" s="24" t="s">
        <v>37</v>
      </c>
      <c r="C322" s="24" t="s">
        <v>197</v>
      </c>
      <c r="D322" s="36" t="s">
        <v>39</v>
      </c>
      <c r="E322" s="36" t="s">
        <v>2164</v>
      </c>
      <c r="F322" s="57" t="s">
        <v>2165</v>
      </c>
      <c r="G322" s="36">
        <f>VLOOKUP(F322,'[1]Saldos de Cartera'!$E$8:$S$343,15,0)</f>
        <v>15356.83</v>
      </c>
      <c r="H322" s="36" t="s">
        <v>42</v>
      </c>
      <c r="I322" s="58">
        <v>45856</v>
      </c>
      <c r="J322" s="24">
        <v>38000024080</v>
      </c>
      <c r="K322" s="24" t="s">
        <v>43</v>
      </c>
      <c r="L322" s="59" t="s">
        <v>2166</v>
      </c>
      <c r="M322" s="24" t="s">
        <v>45</v>
      </c>
      <c r="N322" s="24" t="s">
        <v>118</v>
      </c>
      <c r="O322" s="36" t="s">
        <v>47</v>
      </c>
      <c r="P322" s="47">
        <v>45856</v>
      </c>
      <c r="Q322" s="24" t="s">
        <v>2167</v>
      </c>
      <c r="R322" s="24">
        <v>378631</v>
      </c>
      <c r="S322" s="24" t="s">
        <v>49</v>
      </c>
      <c r="T322" s="24" t="s">
        <v>50</v>
      </c>
      <c r="U322" s="60">
        <v>45940</v>
      </c>
      <c r="V322" s="24" t="s">
        <v>2168</v>
      </c>
      <c r="W322" s="24" t="s">
        <v>88</v>
      </c>
      <c r="X322" s="24" t="s">
        <v>2169</v>
      </c>
      <c r="Y322" s="61" t="s">
        <v>2170</v>
      </c>
      <c r="Z322" s="24" t="s">
        <v>55</v>
      </c>
      <c r="AA322" s="58">
        <v>46195</v>
      </c>
      <c r="AB322" s="24" t="s">
        <v>1998</v>
      </c>
      <c r="AC322" s="55" t="s">
        <v>2171</v>
      </c>
      <c r="AD322" s="24" t="s">
        <v>69</v>
      </c>
      <c r="AE322" s="24" t="s">
        <v>2172</v>
      </c>
      <c r="AF322" s="24" t="s">
        <v>99</v>
      </c>
    </row>
    <row r="323" spans="1:32" ht="15" customHeight="1" x14ac:dyDescent="0.2">
      <c r="A323" s="36" t="s">
        <v>2149</v>
      </c>
      <c r="B323" s="24" t="s">
        <v>37</v>
      </c>
      <c r="C323" s="24" t="s">
        <v>197</v>
      </c>
      <c r="D323" s="36" t="s">
        <v>39</v>
      </c>
      <c r="E323" s="36" t="s">
        <v>2173</v>
      </c>
      <c r="F323" s="57" t="s">
        <v>2174</v>
      </c>
      <c r="G323" s="36">
        <f>VLOOKUP(F323,'[1]Saldos de Cartera'!$E$8:$S$343,15,0)</f>
        <v>26336.49</v>
      </c>
      <c r="H323" s="36" t="s">
        <v>42</v>
      </c>
      <c r="I323" s="58">
        <v>45869</v>
      </c>
      <c r="J323" s="24">
        <v>38000026337</v>
      </c>
      <c r="K323" s="24" t="s">
        <v>43</v>
      </c>
      <c r="L323" s="59" t="s">
        <v>2175</v>
      </c>
      <c r="M323" s="24" t="s">
        <v>45</v>
      </c>
      <c r="N323" s="62" t="s">
        <v>46</v>
      </c>
      <c r="O323" s="36" t="s">
        <v>47</v>
      </c>
      <c r="P323" s="47">
        <v>45869</v>
      </c>
      <c r="Q323" s="24" t="s">
        <v>2176</v>
      </c>
      <c r="R323" s="24">
        <v>183349</v>
      </c>
      <c r="S323" s="24" t="s">
        <v>49</v>
      </c>
      <c r="T323" s="24" t="s">
        <v>50</v>
      </c>
      <c r="U323" s="60">
        <v>45910</v>
      </c>
      <c r="V323" s="24" t="s">
        <v>2177</v>
      </c>
      <c r="W323" s="39" t="s">
        <v>52</v>
      </c>
      <c r="X323" s="24" t="s">
        <v>2530</v>
      </c>
      <c r="Y323" s="61" t="s">
        <v>2157</v>
      </c>
      <c r="Z323" s="24" t="s">
        <v>55</v>
      </c>
      <c r="AA323" s="21">
        <v>46203</v>
      </c>
      <c r="AB323" s="53" t="s">
        <v>56</v>
      </c>
      <c r="AC323" s="55" t="s">
        <v>68</v>
      </c>
      <c r="AD323" s="24" t="s">
        <v>69</v>
      </c>
      <c r="AE323" s="24" t="s">
        <v>59</v>
      </c>
      <c r="AF323" s="24" t="s">
        <v>60</v>
      </c>
    </row>
    <row r="324" spans="1:32" ht="15" customHeight="1" x14ac:dyDescent="0.2">
      <c r="A324" s="36" t="s">
        <v>2149</v>
      </c>
      <c r="B324" s="24" t="s">
        <v>37</v>
      </c>
      <c r="C324" s="24" t="s">
        <v>197</v>
      </c>
      <c r="D324" s="36" t="s">
        <v>39</v>
      </c>
      <c r="E324" s="36" t="s">
        <v>2173</v>
      </c>
      <c r="F324" s="57" t="s">
        <v>2178</v>
      </c>
      <c r="G324" s="36">
        <f>VLOOKUP(F324,'[1]Saldos de Cartera'!$E$8:$S$343,15,0)</f>
        <v>27886.7</v>
      </c>
      <c r="H324" s="36" t="s">
        <v>42</v>
      </c>
      <c r="I324" s="58">
        <v>45950</v>
      </c>
      <c r="J324" s="24">
        <v>38000027923</v>
      </c>
      <c r="K324" s="24" t="s">
        <v>43</v>
      </c>
      <c r="L324" s="59" t="s">
        <v>2179</v>
      </c>
      <c r="M324" s="24" t="s">
        <v>45</v>
      </c>
      <c r="N324" s="62" t="s">
        <v>118</v>
      </c>
      <c r="O324" s="36" t="s">
        <v>47</v>
      </c>
      <c r="P324" s="47">
        <v>45950</v>
      </c>
      <c r="Q324" s="24" t="s">
        <v>2180</v>
      </c>
      <c r="R324" s="24">
        <v>880511</v>
      </c>
      <c r="S324" s="24" t="s">
        <v>49</v>
      </c>
      <c r="T324" s="24" t="s">
        <v>50</v>
      </c>
      <c r="U324" s="60">
        <v>46132</v>
      </c>
      <c r="V324" s="24" t="s">
        <v>2531</v>
      </c>
      <c r="W324" s="24" t="s">
        <v>435</v>
      </c>
      <c r="X324" s="24" t="s">
        <v>2181</v>
      </c>
      <c r="Y324" s="61" t="s">
        <v>2182</v>
      </c>
      <c r="Z324" s="24" t="s">
        <v>55</v>
      </c>
      <c r="AA324" s="21">
        <v>46203</v>
      </c>
      <c r="AB324" s="53" t="s">
        <v>56</v>
      </c>
      <c r="AC324" s="55" t="s">
        <v>68</v>
      </c>
      <c r="AD324" s="24" t="s">
        <v>69</v>
      </c>
      <c r="AE324" s="24" t="s">
        <v>59</v>
      </c>
      <c r="AF324" s="24" t="s">
        <v>60</v>
      </c>
    </row>
    <row r="325" spans="1:32" ht="15" customHeight="1" x14ac:dyDescent="0.2">
      <c r="A325" s="36" t="s">
        <v>2149</v>
      </c>
      <c r="B325" s="24" t="s">
        <v>37</v>
      </c>
      <c r="C325" s="24" t="s">
        <v>197</v>
      </c>
      <c r="D325" s="36" t="s">
        <v>39</v>
      </c>
      <c r="E325" s="36" t="s">
        <v>2183</v>
      </c>
      <c r="F325" s="57" t="s">
        <v>2184</v>
      </c>
      <c r="G325" s="36">
        <f>VLOOKUP(F325,'[1]Saldos de Cartera'!$E$8:$S$343,15,0)</f>
        <v>29770.44</v>
      </c>
      <c r="H325" s="36" t="s">
        <v>42</v>
      </c>
      <c r="I325" s="58">
        <v>45775</v>
      </c>
      <c r="J325" s="63" t="s">
        <v>2185</v>
      </c>
      <c r="K325" s="24" t="s">
        <v>43</v>
      </c>
      <c r="L325" s="59" t="s">
        <v>2186</v>
      </c>
      <c r="M325" s="24" t="s">
        <v>45</v>
      </c>
      <c r="N325" s="24" t="s">
        <v>118</v>
      </c>
      <c r="O325" s="36" t="s">
        <v>47</v>
      </c>
      <c r="P325" s="47">
        <v>45775</v>
      </c>
      <c r="Q325" s="24" t="s">
        <v>2187</v>
      </c>
      <c r="R325" s="24">
        <v>245667</v>
      </c>
      <c r="S325" s="24" t="s">
        <v>49</v>
      </c>
      <c r="T325" s="24" t="s">
        <v>50</v>
      </c>
      <c r="U325" s="60">
        <v>45972</v>
      </c>
      <c r="V325" s="24" t="s">
        <v>2188</v>
      </c>
      <c r="W325" s="24" t="s">
        <v>88</v>
      </c>
      <c r="X325" s="24" t="s">
        <v>2189</v>
      </c>
      <c r="Y325" s="61" t="s">
        <v>2190</v>
      </c>
      <c r="Z325" s="24" t="s">
        <v>55</v>
      </c>
      <c r="AA325" s="21">
        <v>46203</v>
      </c>
      <c r="AB325" s="53" t="s">
        <v>56</v>
      </c>
      <c r="AC325" s="55" t="s">
        <v>68</v>
      </c>
      <c r="AD325" s="24" t="s">
        <v>69</v>
      </c>
      <c r="AE325" s="24" t="s">
        <v>59</v>
      </c>
      <c r="AF325" s="24" t="s">
        <v>60</v>
      </c>
    </row>
    <row r="326" spans="1:32" ht="15" customHeight="1" x14ac:dyDescent="0.2">
      <c r="A326" s="36" t="s">
        <v>2149</v>
      </c>
      <c r="B326" s="24" t="s">
        <v>37</v>
      </c>
      <c r="C326" s="24" t="s">
        <v>197</v>
      </c>
      <c r="D326" s="36" t="s">
        <v>39</v>
      </c>
      <c r="E326" s="36" t="s">
        <v>2191</v>
      </c>
      <c r="F326" s="57" t="s">
        <v>2192</v>
      </c>
      <c r="G326" s="36">
        <f>VLOOKUP(F326,'[1]Saldos de Cartera'!$E$8:$S$343,15,0)</f>
        <v>24244.55</v>
      </c>
      <c r="H326" s="36" t="s">
        <v>42</v>
      </c>
      <c r="I326" s="58">
        <v>45927</v>
      </c>
      <c r="J326" s="63" t="s">
        <v>2193</v>
      </c>
      <c r="K326" s="24" t="s">
        <v>72</v>
      </c>
      <c r="L326" s="59" t="s">
        <v>2194</v>
      </c>
      <c r="M326" s="24" t="s">
        <v>45</v>
      </c>
      <c r="N326" s="24" t="s">
        <v>201</v>
      </c>
      <c r="O326" s="24" t="s">
        <v>96</v>
      </c>
      <c r="P326" s="47"/>
      <c r="Q326" s="24"/>
      <c r="R326" s="24"/>
      <c r="S326" s="24"/>
      <c r="T326" s="24" t="s">
        <v>50</v>
      </c>
      <c r="U326" s="60">
        <v>45926</v>
      </c>
      <c r="V326" s="24" t="s">
        <v>2195</v>
      </c>
      <c r="W326" s="39" t="s">
        <v>52</v>
      </c>
      <c r="X326" s="24" t="s">
        <v>96</v>
      </c>
      <c r="Y326" s="61" t="s">
        <v>2196</v>
      </c>
      <c r="Z326" s="24" t="s">
        <v>96</v>
      </c>
      <c r="AA326" s="21">
        <v>46203</v>
      </c>
      <c r="AB326" s="53" t="s">
        <v>56</v>
      </c>
      <c r="AC326" s="55" t="s">
        <v>68</v>
      </c>
      <c r="AD326" s="24" t="s">
        <v>82</v>
      </c>
      <c r="AE326" s="24" t="s">
        <v>59</v>
      </c>
      <c r="AF326" s="24" t="s">
        <v>60</v>
      </c>
    </row>
    <row r="327" spans="1:32" ht="15" customHeight="1" x14ac:dyDescent="0.2">
      <c r="A327" s="36" t="s">
        <v>2149</v>
      </c>
      <c r="B327" s="24" t="s">
        <v>37</v>
      </c>
      <c r="C327" s="24" t="s">
        <v>197</v>
      </c>
      <c r="D327" s="36" t="s">
        <v>39</v>
      </c>
      <c r="E327" s="36" t="s">
        <v>2197</v>
      </c>
      <c r="F327" s="57" t="s">
        <v>2198</v>
      </c>
      <c r="G327" s="36">
        <f>VLOOKUP(F327,'[1]Saldos de Cartera'!$E$8:$S$343,15,0)</f>
        <v>15225.07</v>
      </c>
      <c r="H327" s="36" t="s">
        <v>42</v>
      </c>
      <c r="I327" s="58">
        <v>45860</v>
      </c>
      <c r="J327" s="24">
        <v>38000024339</v>
      </c>
      <c r="K327" s="24" t="s">
        <v>43</v>
      </c>
      <c r="L327" s="59" t="s">
        <v>2199</v>
      </c>
      <c r="M327" s="24" t="s">
        <v>45</v>
      </c>
      <c r="N327" s="24" t="s">
        <v>118</v>
      </c>
      <c r="O327" s="36" t="s">
        <v>47</v>
      </c>
      <c r="P327" s="47">
        <v>45860</v>
      </c>
      <c r="Q327" s="24" t="s">
        <v>2200</v>
      </c>
      <c r="R327" s="24">
        <v>21195</v>
      </c>
      <c r="S327" s="24" t="s">
        <v>66</v>
      </c>
      <c r="T327" s="24"/>
      <c r="U327" s="60"/>
      <c r="V327" s="24"/>
      <c r="W327" s="24"/>
      <c r="X327" s="24" t="s">
        <v>2201</v>
      </c>
      <c r="Y327" s="61" t="s">
        <v>2202</v>
      </c>
      <c r="Z327" s="24" t="s">
        <v>80</v>
      </c>
      <c r="AA327" s="58">
        <v>46195</v>
      </c>
      <c r="AB327" s="24" t="s">
        <v>1998</v>
      </c>
      <c r="AC327" s="55" t="s">
        <v>2171</v>
      </c>
      <c r="AD327" s="24" t="s">
        <v>69</v>
      </c>
      <c r="AE327" s="24" t="s">
        <v>2172</v>
      </c>
      <c r="AF327" s="24" t="s">
        <v>99</v>
      </c>
    </row>
    <row r="328" spans="1:32" ht="15" customHeight="1" x14ac:dyDescent="0.2">
      <c r="A328" s="36" t="s">
        <v>2149</v>
      </c>
      <c r="B328" s="24" t="s">
        <v>37</v>
      </c>
      <c r="C328" s="24" t="s">
        <v>197</v>
      </c>
      <c r="D328" s="36" t="s">
        <v>39</v>
      </c>
      <c r="E328" s="36" t="s">
        <v>2203</v>
      </c>
      <c r="F328" s="57" t="s">
        <v>2204</v>
      </c>
      <c r="G328" s="36">
        <f>VLOOKUP(F328,'[1]Saldos de Cartera'!$E$8:$S$343,15,0)</f>
        <v>129304.48</v>
      </c>
      <c r="H328" s="36" t="s">
        <v>42</v>
      </c>
      <c r="I328" s="58">
        <v>45619</v>
      </c>
      <c r="J328" s="24" t="s">
        <v>324</v>
      </c>
      <c r="K328" s="24" t="s">
        <v>43</v>
      </c>
      <c r="L328" s="59" t="s">
        <v>2205</v>
      </c>
      <c r="M328" s="24" t="s">
        <v>45</v>
      </c>
      <c r="N328" s="24" t="s">
        <v>243</v>
      </c>
      <c r="O328" s="24" t="s">
        <v>96</v>
      </c>
      <c r="P328" s="47"/>
      <c r="Q328" s="24"/>
      <c r="R328" s="24"/>
      <c r="S328" s="24"/>
      <c r="T328" s="24" t="s">
        <v>327</v>
      </c>
      <c r="U328" s="60">
        <v>45051</v>
      </c>
      <c r="V328" s="24" t="s">
        <v>2206</v>
      </c>
      <c r="W328" s="24" t="s">
        <v>52</v>
      </c>
      <c r="X328" s="24" t="s">
        <v>2207</v>
      </c>
      <c r="Y328" s="61" t="s">
        <v>2208</v>
      </c>
      <c r="Z328" s="24" t="s">
        <v>55</v>
      </c>
      <c r="AA328" s="58">
        <v>46197</v>
      </c>
      <c r="AB328" s="24" t="s">
        <v>1998</v>
      </c>
      <c r="AC328" s="55" t="s">
        <v>2052</v>
      </c>
      <c r="AD328" s="24" t="s">
        <v>58</v>
      </c>
      <c r="AE328" s="24" t="s">
        <v>2172</v>
      </c>
      <c r="AF328" s="24" t="s">
        <v>99</v>
      </c>
    </row>
    <row r="329" spans="1:32" ht="29.25" customHeight="1" x14ac:dyDescent="0.2">
      <c r="A329" s="36" t="s">
        <v>2149</v>
      </c>
      <c r="B329" s="24" t="s">
        <v>37</v>
      </c>
      <c r="C329" s="24" t="s">
        <v>197</v>
      </c>
      <c r="D329" s="36" t="s">
        <v>39</v>
      </c>
      <c r="E329" s="36" t="s">
        <v>2209</v>
      </c>
      <c r="F329" s="57" t="s">
        <v>2210</v>
      </c>
      <c r="G329" s="36">
        <f>VLOOKUP(F329,'[1]Saldos de Cartera'!$E$8:$S$343,15,0)</f>
        <v>8744.39</v>
      </c>
      <c r="H329" s="36" t="s">
        <v>42</v>
      </c>
      <c r="I329" s="58">
        <v>45565</v>
      </c>
      <c r="J329" s="24">
        <v>38000019497</v>
      </c>
      <c r="K329" s="24" t="s">
        <v>72</v>
      </c>
      <c r="L329" s="59" t="s">
        <v>2211</v>
      </c>
      <c r="M329" s="24" t="s">
        <v>74</v>
      </c>
      <c r="N329" s="24" t="s">
        <v>141</v>
      </c>
      <c r="O329" s="24" t="s">
        <v>96</v>
      </c>
      <c r="P329" s="47"/>
      <c r="Q329" s="24"/>
      <c r="R329" s="24"/>
      <c r="S329" s="24"/>
      <c r="T329" s="24" t="s">
        <v>50</v>
      </c>
      <c r="U329" s="60">
        <v>45569</v>
      </c>
      <c r="V329" s="24" t="s">
        <v>2212</v>
      </c>
      <c r="W329" s="39" t="s">
        <v>52</v>
      </c>
      <c r="X329" s="24" t="s">
        <v>96</v>
      </c>
      <c r="Y329" s="61" t="s">
        <v>2213</v>
      </c>
      <c r="Z329" s="24" t="s">
        <v>96</v>
      </c>
      <c r="AA329" s="21">
        <v>46203</v>
      </c>
      <c r="AB329" s="53" t="s">
        <v>56</v>
      </c>
      <c r="AC329" s="55" t="s">
        <v>68</v>
      </c>
      <c r="AD329" s="24" t="s">
        <v>82</v>
      </c>
      <c r="AE329" s="24" t="s">
        <v>59</v>
      </c>
      <c r="AF329" s="24" t="s">
        <v>60</v>
      </c>
    </row>
    <row r="330" spans="1:32" ht="15" customHeight="1" x14ac:dyDescent="0.2">
      <c r="A330" s="36" t="s">
        <v>2214</v>
      </c>
      <c r="B330" s="23" t="s">
        <v>37</v>
      </c>
      <c r="C330" s="23" t="s">
        <v>197</v>
      </c>
      <c r="D330" s="36" t="s">
        <v>39</v>
      </c>
      <c r="E330" s="36" t="s">
        <v>2215</v>
      </c>
      <c r="F330" s="64" t="s">
        <v>2216</v>
      </c>
      <c r="G330" s="36">
        <f>VLOOKUP(F330,'[1]Saldos de Cartera'!$E$8:$S$343,15,0)</f>
        <v>46326.98</v>
      </c>
      <c r="H330" s="36" t="s">
        <v>42</v>
      </c>
      <c r="I330" s="65">
        <v>45896</v>
      </c>
      <c r="J330" s="66" t="s">
        <v>2217</v>
      </c>
      <c r="K330" s="23" t="s">
        <v>43</v>
      </c>
      <c r="L330" s="67" t="s">
        <v>2218</v>
      </c>
      <c r="M330" s="23" t="s">
        <v>45</v>
      </c>
      <c r="N330" s="23" t="s">
        <v>46</v>
      </c>
      <c r="O330" s="36" t="s">
        <v>47</v>
      </c>
      <c r="P330" s="47">
        <v>45896</v>
      </c>
      <c r="Q330" s="23" t="s">
        <v>2219</v>
      </c>
      <c r="R330" s="23">
        <v>653589</v>
      </c>
      <c r="S330" s="23" t="s">
        <v>49</v>
      </c>
      <c r="T330" s="23" t="s">
        <v>50</v>
      </c>
      <c r="U330" s="68">
        <v>45923</v>
      </c>
      <c r="V330" s="23" t="s">
        <v>2220</v>
      </c>
      <c r="W330" s="23" t="s">
        <v>88</v>
      </c>
      <c r="X330" s="23" t="s">
        <v>2221</v>
      </c>
      <c r="Y330" s="23" t="s">
        <v>2222</v>
      </c>
      <c r="Z330" s="23" t="s">
        <v>55</v>
      </c>
      <c r="AA330" s="69">
        <v>46190</v>
      </c>
      <c r="AB330" s="23" t="s">
        <v>1998</v>
      </c>
      <c r="AC330" s="70" t="s">
        <v>2040</v>
      </c>
      <c r="AD330" s="23" t="s">
        <v>69</v>
      </c>
      <c r="AE330" s="23" t="s">
        <v>59</v>
      </c>
      <c r="AF330" s="23" t="s">
        <v>60</v>
      </c>
    </row>
    <row r="331" spans="1:32" ht="15" customHeight="1" x14ac:dyDescent="0.2">
      <c r="A331" s="36" t="s">
        <v>2214</v>
      </c>
      <c r="B331" s="23" t="s">
        <v>37</v>
      </c>
      <c r="C331" s="23" t="s">
        <v>197</v>
      </c>
      <c r="D331" s="36" t="s">
        <v>39</v>
      </c>
      <c r="E331" s="36" t="s">
        <v>2223</v>
      </c>
      <c r="F331" s="64" t="s">
        <v>2224</v>
      </c>
      <c r="G331" s="36">
        <f>VLOOKUP(F331,'[1]Saldos de Cartera'!$E$8:$S$343,15,0)</f>
        <v>25963.88</v>
      </c>
      <c r="H331" s="36" t="s">
        <v>42</v>
      </c>
      <c r="I331" s="65">
        <v>45884</v>
      </c>
      <c r="J331" s="66" t="s">
        <v>2225</v>
      </c>
      <c r="K331" s="23" t="s">
        <v>43</v>
      </c>
      <c r="L331" s="67" t="s">
        <v>2226</v>
      </c>
      <c r="M331" s="23" t="s">
        <v>45</v>
      </c>
      <c r="N331" s="23" t="s">
        <v>118</v>
      </c>
      <c r="O331" s="36" t="s">
        <v>47</v>
      </c>
      <c r="P331" s="47">
        <v>45884</v>
      </c>
      <c r="Q331" s="23" t="s">
        <v>2227</v>
      </c>
      <c r="R331" s="23">
        <v>779810</v>
      </c>
      <c r="S331" s="23" t="s">
        <v>66</v>
      </c>
      <c r="T331" s="23"/>
      <c r="U331" s="68"/>
      <c r="V331" s="23"/>
      <c r="W331" s="23"/>
      <c r="X331" s="23" t="s">
        <v>2228</v>
      </c>
      <c r="Y331" s="23" t="s">
        <v>2229</v>
      </c>
      <c r="Z331" s="23" t="s">
        <v>55</v>
      </c>
      <c r="AA331" s="69">
        <v>46190</v>
      </c>
      <c r="AB331" s="23" t="s">
        <v>1998</v>
      </c>
      <c r="AC331" s="70" t="s">
        <v>2040</v>
      </c>
      <c r="AD331" s="23" t="s">
        <v>69</v>
      </c>
      <c r="AE331" s="23" t="s">
        <v>59</v>
      </c>
      <c r="AF331" s="23" t="s">
        <v>60</v>
      </c>
    </row>
    <row r="332" spans="1:32" ht="15" customHeight="1" x14ac:dyDescent="0.2">
      <c r="A332" s="36" t="s">
        <v>2214</v>
      </c>
      <c r="B332" s="23" t="s">
        <v>37</v>
      </c>
      <c r="C332" s="23" t="s">
        <v>197</v>
      </c>
      <c r="D332" s="36" t="s">
        <v>39</v>
      </c>
      <c r="E332" s="36" t="s">
        <v>2230</v>
      </c>
      <c r="F332" s="64" t="s">
        <v>2231</v>
      </c>
      <c r="G332" s="36">
        <f>VLOOKUP(F332,'[1]Saldos de Cartera'!$E$8:$S$343,15,0)</f>
        <v>49868.44</v>
      </c>
      <c r="H332" s="36" t="s">
        <v>42</v>
      </c>
      <c r="I332" s="65">
        <v>45855</v>
      </c>
      <c r="J332" s="66" t="s">
        <v>2232</v>
      </c>
      <c r="K332" s="23" t="s">
        <v>43</v>
      </c>
      <c r="L332" s="67" t="s">
        <v>2233</v>
      </c>
      <c r="M332" s="23" t="s">
        <v>45</v>
      </c>
      <c r="N332" s="23" t="s">
        <v>421</v>
      </c>
      <c r="O332" s="36" t="s">
        <v>47</v>
      </c>
      <c r="P332" s="47">
        <v>45855</v>
      </c>
      <c r="Q332" s="23" t="s">
        <v>2234</v>
      </c>
      <c r="R332" s="23">
        <v>312382</v>
      </c>
      <c r="S332" s="23" t="s">
        <v>49</v>
      </c>
      <c r="T332" s="23" t="s">
        <v>50</v>
      </c>
      <c r="U332" s="68">
        <v>46045</v>
      </c>
      <c r="V332" s="23" t="s">
        <v>2235</v>
      </c>
      <c r="W332" s="23" t="s">
        <v>88</v>
      </c>
      <c r="X332" s="23" t="s">
        <v>2236</v>
      </c>
      <c r="Y332" s="23" t="s">
        <v>2237</v>
      </c>
      <c r="Z332" s="23" t="s">
        <v>55</v>
      </c>
      <c r="AA332" s="69">
        <v>46190</v>
      </c>
      <c r="AB332" s="23" t="s">
        <v>1998</v>
      </c>
      <c r="AC332" s="70" t="s">
        <v>2040</v>
      </c>
      <c r="AD332" s="23" t="s">
        <v>69</v>
      </c>
      <c r="AE332" s="23" t="s">
        <v>59</v>
      </c>
      <c r="AF332" s="23" t="s">
        <v>60</v>
      </c>
    </row>
    <row r="333" spans="1:32" ht="15" customHeight="1" x14ac:dyDescent="0.2">
      <c r="A333" s="36" t="s">
        <v>2214</v>
      </c>
      <c r="B333" s="23" t="s">
        <v>37</v>
      </c>
      <c r="C333" s="23" t="s">
        <v>197</v>
      </c>
      <c r="D333" s="36" t="s">
        <v>39</v>
      </c>
      <c r="E333" s="36" t="s">
        <v>2238</v>
      </c>
      <c r="F333" s="64" t="s">
        <v>2239</v>
      </c>
      <c r="G333" s="36">
        <f>VLOOKUP(F333,'[1]Saldos de Cartera'!$E$8:$S$343,15,0)</f>
        <v>8938.6</v>
      </c>
      <c r="H333" s="36" t="s">
        <v>42</v>
      </c>
      <c r="I333" s="65">
        <v>45372</v>
      </c>
      <c r="J333" s="66" t="s">
        <v>2240</v>
      </c>
      <c r="K333" s="23" t="s">
        <v>43</v>
      </c>
      <c r="L333" s="67" t="s">
        <v>2241</v>
      </c>
      <c r="M333" s="23" t="s">
        <v>45</v>
      </c>
      <c r="N333" s="23" t="s">
        <v>201</v>
      </c>
      <c r="O333" s="36" t="s">
        <v>47</v>
      </c>
      <c r="P333" s="47">
        <v>45372</v>
      </c>
      <c r="Q333" s="23" t="s">
        <v>2242</v>
      </c>
      <c r="R333" s="23"/>
      <c r="S333" s="23" t="s">
        <v>49</v>
      </c>
      <c r="T333" s="23" t="s">
        <v>50</v>
      </c>
      <c r="U333" s="68">
        <v>45565</v>
      </c>
      <c r="V333" s="23" t="s">
        <v>2243</v>
      </c>
      <c r="W333" s="39" t="s">
        <v>52</v>
      </c>
      <c r="X333" s="23" t="s">
        <v>2244</v>
      </c>
      <c r="Y333" s="23" t="s">
        <v>2245</v>
      </c>
      <c r="Z333" s="23" t="s">
        <v>55</v>
      </c>
      <c r="AA333" s="69">
        <v>46190</v>
      </c>
      <c r="AB333" s="23" t="s">
        <v>1998</v>
      </c>
      <c r="AC333" s="70" t="s">
        <v>2040</v>
      </c>
      <c r="AD333" s="23" t="s">
        <v>58</v>
      </c>
      <c r="AE333" s="23" t="s">
        <v>59</v>
      </c>
      <c r="AF333" s="23" t="s">
        <v>60</v>
      </c>
    </row>
    <row r="334" spans="1:32" ht="15" customHeight="1" x14ac:dyDescent="0.2">
      <c r="A334" s="36" t="s">
        <v>2214</v>
      </c>
      <c r="B334" s="23" t="s">
        <v>37</v>
      </c>
      <c r="C334" s="23" t="s">
        <v>197</v>
      </c>
      <c r="D334" s="36" t="s">
        <v>39</v>
      </c>
      <c r="E334" s="36" t="s">
        <v>2238</v>
      </c>
      <c r="F334" s="64" t="s">
        <v>2246</v>
      </c>
      <c r="G334" s="36">
        <f>VLOOKUP(F334,'[1]Saldos de Cartera'!$E$8:$S$343,15,0)</f>
        <v>16066.27</v>
      </c>
      <c r="H334" s="36" t="s">
        <v>42</v>
      </c>
      <c r="I334" s="65">
        <v>45372</v>
      </c>
      <c r="J334" s="66" t="s">
        <v>2247</v>
      </c>
      <c r="K334" s="23" t="s">
        <v>43</v>
      </c>
      <c r="L334" s="67" t="s">
        <v>2248</v>
      </c>
      <c r="M334" s="23" t="s">
        <v>45</v>
      </c>
      <c r="N334" s="23" t="s">
        <v>201</v>
      </c>
      <c r="O334" s="36" t="s">
        <v>47</v>
      </c>
      <c r="P334" s="47">
        <v>45372</v>
      </c>
      <c r="Q334" s="23" t="s">
        <v>2249</v>
      </c>
      <c r="R334" s="23"/>
      <c r="S334" s="23" t="s">
        <v>49</v>
      </c>
      <c r="T334" s="23" t="s">
        <v>50</v>
      </c>
      <c r="U334" s="68">
        <v>45565</v>
      </c>
      <c r="V334" s="23" t="s">
        <v>2243</v>
      </c>
      <c r="W334" s="39" t="s">
        <v>52</v>
      </c>
      <c r="X334" s="23" t="s">
        <v>2244</v>
      </c>
      <c r="Y334" s="23" t="s">
        <v>2245</v>
      </c>
      <c r="Z334" s="23" t="s">
        <v>55</v>
      </c>
      <c r="AA334" s="69">
        <v>46190</v>
      </c>
      <c r="AB334" s="23" t="s">
        <v>1998</v>
      </c>
      <c r="AC334" s="70" t="s">
        <v>2040</v>
      </c>
      <c r="AD334" s="23" t="s">
        <v>58</v>
      </c>
      <c r="AE334" s="23" t="s">
        <v>59</v>
      </c>
      <c r="AF334" s="23" t="s">
        <v>60</v>
      </c>
    </row>
    <row r="335" spans="1:32" ht="15" customHeight="1" x14ac:dyDescent="0.2">
      <c r="A335" s="36" t="s">
        <v>2214</v>
      </c>
      <c r="B335" s="23" t="s">
        <v>37</v>
      </c>
      <c r="C335" s="23" t="s">
        <v>197</v>
      </c>
      <c r="D335" s="36" t="s">
        <v>39</v>
      </c>
      <c r="E335" s="36" t="s">
        <v>2250</v>
      </c>
      <c r="F335" s="64" t="s">
        <v>2251</v>
      </c>
      <c r="G335" s="36">
        <f>VLOOKUP(F335,'[1]Saldos de Cartera'!$E$8:$S$343,15,0)</f>
        <v>36233.89</v>
      </c>
      <c r="H335" s="36" t="s">
        <v>42</v>
      </c>
      <c r="I335" s="65">
        <v>46013</v>
      </c>
      <c r="J335" s="66" t="s">
        <v>2252</v>
      </c>
      <c r="K335" s="23" t="s">
        <v>43</v>
      </c>
      <c r="L335" s="67" t="s">
        <v>2253</v>
      </c>
      <c r="M335" s="23" t="s">
        <v>74</v>
      </c>
      <c r="N335" s="23" t="s">
        <v>1321</v>
      </c>
      <c r="O335" s="36" t="s">
        <v>47</v>
      </c>
      <c r="P335" s="47">
        <v>46013</v>
      </c>
      <c r="Q335" s="23" t="s">
        <v>2254</v>
      </c>
      <c r="R335" s="23">
        <v>97546</v>
      </c>
      <c r="S335" s="23" t="s">
        <v>2136</v>
      </c>
      <c r="T335" s="23"/>
      <c r="U335" s="68"/>
      <c r="V335" s="23"/>
      <c r="W335" s="23"/>
      <c r="X335" s="23" t="s">
        <v>2255</v>
      </c>
      <c r="Y335" s="23" t="s">
        <v>2256</v>
      </c>
      <c r="Z335" s="23" t="s">
        <v>55</v>
      </c>
      <c r="AA335" s="69">
        <v>46190</v>
      </c>
      <c r="AB335" s="23" t="s">
        <v>1998</v>
      </c>
      <c r="AC335" s="70" t="s">
        <v>2040</v>
      </c>
      <c r="AD335" s="23" t="s">
        <v>69</v>
      </c>
      <c r="AE335" s="23" t="s">
        <v>59</v>
      </c>
      <c r="AF335" s="23" t="s">
        <v>60</v>
      </c>
    </row>
    <row r="336" spans="1:32" ht="15" customHeight="1" x14ac:dyDescent="0.2">
      <c r="A336" s="36" t="s">
        <v>2214</v>
      </c>
      <c r="B336" s="36" t="s">
        <v>37</v>
      </c>
      <c r="C336" s="36" t="s">
        <v>38</v>
      </c>
      <c r="D336" s="36" t="s">
        <v>39</v>
      </c>
      <c r="E336" s="36" t="s">
        <v>2278</v>
      </c>
      <c r="F336" s="46" t="s">
        <v>2272</v>
      </c>
      <c r="G336" s="36">
        <f>VLOOKUP(F336,'[1]Saldos de Cartera'!$E$8:$S$343,15,0)</f>
        <v>53126.09</v>
      </c>
      <c r="H336" s="36" t="s">
        <v>42</v>
      </c>
      <c r="I336" s="65">
        <v>46162</v>
      </c>
      <c r="J336" s="66" t="s">
        <v>2524</v>
      </c>
      <c r="K336" s="23" t="s">
        <v>43</v>
      </c>
      <c r="L336" s="67">
        <v>53126.09</v>
      </c>
      <c r="M336" s="23" t="s">
        <v>45</v>
      </c>
      <c r="N336" s="23" t="s">
        <v>2257</v>
      </c>
      <c r="O336" s="36" t="s">
        <v>47</v>
      </c>
      <c r="P336" s="68">
        <v>46162</v>
      </c>
      <c r="Q336" s="23" t="s">
        <v>2258</v>
      </c>
      <c r="R336" s="23">
        <v>752348</v>
      </c>
      <c r="S336" s="23" t="s">
        <v>66</v>
      </c>
      <c r="T336" s="23"/>
      <c r="U336" s="68"/>
      <c r="V336" s="23"/>
      <c r="W336" s="23"/>
      <c r="X336" s="23" t="s">
        <v>2548</v>
      </c>
      <c r="Y336" s="39"/>
      <c r="Z336" s="23" t="s">
        <v>55</v>
      </c>
      <c r="AA336" s="47">
        <v>46203</v>
      </c>
      <c r="AB336" s="39" t="s">
        <v>56</v>
      </c>
      <c r="AC336" s="39" t="s">
        <v>2549</v>
      </c>
      <c r="AD336" s="39" t="s">
        <v>69</v>
      </c>
      <c r="AE336" s="39" t="s">
        <v>59</v>
      </c>
      <c r="AF336" s="23"/>
    </row>
    <row r="337" spans="1:32" ht="15" customHeight="1" x14ac:dyDescent="0.2">
      <c r="A337" s="36" t="s">
        <v>2214</v>
      </c>
      <c r="B337" s="36" t="s">
        <v>37</v>
      </c>
      <c r="C337" s="36" t="s">
        <v>38</v>
      </c>
      <c r="D337" s="36" t="s">
        <v>39</v>
      </c>
      <c r="E337" s="36" t="s">
        <v>2279</v>
      </c>
      <c r="F337" s="46" t="s">
        <v>2271</v>
      </c>
      <c r="G337" s="36">
        <f>VLOOKUP(F337,'[1]Saldos de Cartera'!$E$8:$S$343,15,0)</f>
        <v>33875.61</v>
      </c>
      <c r="H337" s="36" t="s">
        <v>42</v>
      </c>
      <c r="I337" s="65">
        <v>46148</v>
      </c>
      <c r="J337" s="66" t="s">
        <v>2260</v>
      </c>
      <c r="K337" s="23" t="s">
        <v>43</v>
      </c>
      <c r="L337" s="67" t="s">
        <v>2259</v>
      </c>
      <c r="M337" s="23" t="s">
        <v>2261</v>
      </c>
      <c r="N337" s="23" t="s">
        <v>2257</v>
      </c>
      <c r="O337" s="36" t="s">
        <v>47</v>
      </c>
      <c r="P337" s="68">
        <v>46148</v>
      </c>
      <c r="Q337" s="23" t="s">
        <v>2262</v>
      </c>
      <c r="R337" s="23">
        <v>686641</v>
      </c>
      <c r="S337" s="23" t="s">
        <v>2136</v>
      </c>
      <c r="T337" s="23"/>
      <c r="U337" s="68"/>
      <c r="V337" s="23"/>
      <c r="W337" s="23"/>
      <c r="X337" s="23" t="s">
        <v>2548</v>
      </c>
      <c r="Y337" s="39"/>
      <c r="Z337" s="23" t="s">
        <v>55</v>
      </c>
      <c r="AA337" s="47">
        <v>46203</v>
      </c>
      <c r="AB337" s="39" t="s">
        <v>56</v>
      </c>
      <c r="AC337" s="39" t="s">
        <v>2549</v>
      </c>
      <c r="AD337" s="39" t="s">
        <v>69</v>
      </c>
      <c r="AE337" s="39" t="s">
        <v>59</v>
      </c>
      <c r="AF337" s="23"/>
    </row>
    <row r="338" spans="1:32" ht="15" customHeight="1" x14ac:dyDescent="0.2">
      <c r="A338" s="36" t="s">
        <v>2214</v>
      </c>
      <c r="B338" s="24" t="s">
        <v>37</v>
      </c>
      <c r="C338" s="24" t="s">
        <v>197</v>
      </c>
      <c r="D338" s="36" t="s">
        <v>39</v>
      </c>
      <c r="E338" s="36" t="s">
        <v>2263</v>
      </c>
      <c r="F338" s="57" t="s">
        <v>2264</v>
      </c>
      <c r="G338" s="36">
        <f>VLOOKUP(F338,'[1]Saldos de Cartera'!$E$8:$S$343,15,0)</f>
        <v>75500</v>
      </c>
      <c r="H338" s="36" t="s">
        <v>42</v>
      </c>
      <c r="I338" s="58">
        <v>45930</v>
      </c>
      <c r="J338" s="63" t="s">
        <v>324</v>
      </c>
      <c r="K338" s="24" t="s">
        <v>43</v>
      </c>
      <c r="L338" s="59" t="s">
        <v>2265</v>
      </c>
      <c r="M338" s="24" t="s">
        <v>45</v>
      </c>
      <c r="N338" s="24" t="s">
        <v>421</v>
      </c>
      <c r="O338" s="23" t="s">
        <v>96</v>
      </c>
      <c r="P338" s="47"/>
      <c r="Q338" s="24"/>
      <c r="R338" s="24"/>
      <c r="S338" s="24"/>
      <c r="T338" s="24" t="s">
        <v>327</v>
      </c>
      <c r="U338" s="60">
        <v>45930</v>
      </c>
      <c r="V338" s="24" t="s">
        <v>2266</v>
      </c>
      <c r="W338" s="24" t="s">
        <v>435</v>
      </c>
      <c r="X338" s="24" t="s">
        <v>2267</v>
      </c>
      <c r="Y338" s="61" t="s">
        <v>2268</v>
      </c>
      <c r="Z338" s="24" t="s">
        <v>55</v>
      </c>
      <c r="AA338" s="21">
        <v>46190</v>
      </c>
      <c r="AB338" s="24" t="s">
        <v>1998</v>
      </c>
      <c r="AC338" s="55" t="s">
        <v>2040</v>
      </c>
      <c r="AD338" s="24" t="s">
        <v>58</v>
      </c>
      <c r="AE338" s="24" t="s">
        <v>59</v>
      </c>
      <c r="AF338" s="24" t="s">
        <v>60</v>
      </c>
    </row>
    <row r="339" spans="1:32" x14ac:dyDescent="0.2">
      <c r="O339" s="50"/>
    </row>
    <row r="340" spans="1:32" x14ac:dyDescent="0.2">
      <c r="O340" s="19"/>
    </row>
  </sheetData>
  <mergeCells count="4">
    <mergeCell ref="X257:Y257"/>
    <mergeCell ref="L1:M1"/>
    <mergeCell ref="T1:U1"/>
    <mergeCell ref="AA1:AB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Hoja3</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Prada</dc:creator>
  <cp:lastModifiedBy>JHON</cp:lastModifiedBy>
  <dcterms:created xsi:type="dcterms:W3CDTF">2026-07-03T20:25:54Z</dcterms:created>
  <dcterms:modified xsi:type="dcterms:W3CDTF">2026-07-10T23:14:21Z</dcterms:modified>
</cp:coreProperties>
</file>